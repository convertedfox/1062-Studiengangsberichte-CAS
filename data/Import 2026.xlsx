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T:\CAS-Leitung\08_Berichte_Statistiken\Studiengangspräsentation\Dashboard\"/>
    </mc:Choice>
  </mc:AlternateContent>
  <xr:revisionPtr revIDLastSave="0" documentId="8_{98A629CB-BF30-4707-AEE4-D4DE7246D757}" xr6:coauthVersionLast="47" xr6:coauthVersionMax="47" xr10:uidLastSave="{00000000-0000-0000-0000-000000000000}"/>
  <bookViews>
    <workbookView xWindow="28680" yWindow="-120" windowWidth="29040" windowHeight="15720" tabRatio="837" xr2:uid="{00000000-000D-0000-FFFF-FFFF00000000}"/>
  </bookViews>
  <sheets>
    <sheet name="Importtabelle" sheetId="1" r:id="rId1"/>
    <sheet name="Vorstudium" sheetId="2" r:id="rId2"/>
    <sheet name="Doz-Herkunft" sheetId="4" r:id="rId3"/>
    <sheet name="Lehrverflechtung" sheetId="5" r:id="rId4"/>
    <sheet name="Infos" sheetId="3" r:id="rId5"/>
  </sheets>
  <definedNames>
    <definedName name="_xlnm._FilterDatabase" localSheetId="2" hidden="1">'Doz-Herkunft'!$A$1:$J$29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2" i="1" a="1"/>
  <c r="K2" i="1" s="1"/>
  <c r="Q2" i="1" a="1"/>
  <c r="Q2" i="1" s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P2" i="1" a="1"/>
  <c r="P2" i="1" s="1"/>
  <c r="R2" i="1" a="1"/>
  <c r="R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<sst xmlns="http://schemas.openxmlformats.org/spreadsheetml/2006/main" count="306" uniqueCount="73">
  <si>
    <t>Studiengang</t>
  </si>
  <si>
    <t>Studienanfänger -4</t>
  </si>
  <si>
    <t>Studienanfänger -3</t>
  </si>
  <si>
    <t>Studienanfänger -2</t>
  </si>
  <si>
    <t>Studienanfänger -1</t>
  </si>
  <si>
    <t>Immatrikulierte Studierende -4</t>
  </si>
  <si>
    <t>Immatrikulierte Studierende -3</t>
  </si>
  <si>
    <t>Immatrikulierte Studierende -2</t>
  </si>
  <si>
    <t>Immatrikulierte Studierende -1</t>
  </si>
  <si>
    <t>Hochschultyp des Vorstudiums der Studienanfänger [PROFIL]</t>
  </si>
  <si>
    <t>Erfolgsquote der Studierenden</t>
  </si>
  <si>
    <t>Anzahl der fürs Studium benötigten Fachsemester</t>
  </si>
  <si>
    <t>Berufserfahrung der Studienanfänger</t>
  </si>
  <si>
    <t>Alter zum Beginn des Studiums</t>
  </si>
  <si>
    <t>Aus welchem Studiengang kommen die Modulteilnehmer? [Profil]</t>
  </si>
  <si>
    <t>Fachbereich</t>
  </si>
  <si>
    <t>Wirtschaft</t>
  </si>
  <si>
    <t>Herkunft Dozent (Anteil an Lehrveranstaltungsstunden) [Profil]</t>
  </si>
  <si>
    <t>Governance Sozialer Arbeit</t>
  </si>
  <si>
    <t>Soziale Arbeit in der Migrationsgesellschaft</t>
  </si>
  <si>
    <t>Informatik</t>
  </si>
  <si>
    <t>Integrated Engineering</t>
  </si>
  <si>
    <t>Accounting, Controlling, Taxation</t>
  </si>
  <si>
    <t>Digital Business Management</t>
  </si>
  <si>
    <t>Advanced Practice in Healthcare</t>
  </si>
  <si>
    <t>Intensive Care</t>
  </si>
  <si>
    <t>Sozialwesen</t>
  </si>
  <si>
    <t>Technik</t>
  </si>
  <si>
    <t>Gesundheit</t>
  </si>
  <si>
    <t>In welchen Studiengängen belegen die Studierenden Module?Studiengang? [Profil]</t>
  </si>
  <si>
    <t>DHBW</t>
  </si>
  <si>
    <t>Hochschule</t>
  </si>
  <si>
    <t>Universität</t>
  </si>
  <si>
    <t>Ausland/k.A.</t>
  </si>
  <si>
    <t>andere Hochschule</t>
  </si>
  <si>
    <t>Forschungsinstitut</t>
  </si>
  <si>
    <t>freiberufl./selbst.</t>
  </si>
  <si>
    <t>Öffentliche Einrichtung</t>
  </si>
  <si>
    <t>Rechtsanwalt / StB/ Richter</t>
  </si>
  <si>
    <t>Soz. Einrichtung / Verbände</t>
  </si>
  <si>
    <t>Unternehmen</t>
  </si>
  <si>
    <t>Fachübergreifende Kompetenzen</t>
  </si>
  <si>
    <t>Digitalisierung in der Sozialen Arbeit</t>
  </si>
  <si>
    <t>Planung und Koordination in der Sozialen Arbeit</t>
  </si>
  <si>
    <t>Transkulturelle Traumapädagogik</t>
  </si>
  <si>
    <t>Bauingenieurwesen</t>
  </si>
  <si>
    <t>Elektrotechnik und Informationstechnik</t>
  </si>
  <si>
    <t>Executive Engineering</t>
  </si>
  <si>
    <t>Maschinenbau</t>
  </si>
  <si>
    <t>Wirtschaftsingenieurwesen</t>
  </si>
  <si>
    <t>Data Science and Artificial Intelligence</t>
  </si>
  <si>
    <t>Entrepreneurship</t>
  </si>
  <si>
    <t>Finance</t>
  </si>
  <si>
    <t>General Business Management</t>
  </si>
  <si>
    <t>Marketing</t>
  </si>
  <si>
    <t>Master of Business Administration</t>
  </si>
  <si>
    <t>Media and Data-driven Business</t>
  </si>
  <si>
    <t>Personalmanagement und Wirtschaftspsychologie</t>
  </si>
  <si>
    <t>Rechnungswesen Steuern Wirtschaftsrecht</t>
  </si>
  <si>
    <t>Sales and Negotiation</t>
  </si>
  <si>
    <t>Supply Chain Management, Logistics, Production</t>
  </si>
  <si>
    <t>Wirtschaftsinformatik</t>
  </si>
  <si>
    <t>Wissenschaftliche Weiterbildung</t>
  </si>
  <si>
    <t>Lehrverflecthungsmatrix SJ 2025/26</t>
  </si>
  <si>
    <t>DozentInnen-Statistik SJ 2024/25</t>
  </si>
  <si>
    <t>Studierendenstatistik 2025.09.18</t>
  </si>
  <si>
    <t xml:space="preserve"> Zahl immatr. Studis: Master in Business Management (auslaufend) nur für FB-Zahl behalten, nicht als SG ausweisen</t>
  </si>
  <si>
    <t>Master in Business Management (auslaufend)</t>
  </si>
  <si>
    <t>WWB</t>
  </si>
  <si>
    <t>Modulwahlstatistik</t>
  </si>
  <si>
    <t>Durchschnittliche Modulbelegung</t>
  </si>
  <si>
    <t>Quelle</t>
  </si>
  <si>
    <t>Hinweis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</si>
</sst>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2" borderId="0" xfId="1"/>
    <xf numFmtId="0" fontId="0" fillId="0" borderId="0" xfId="0" applyAlignme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Fill="1"/>
    <xf numFmtId="0" fontId="6" fillId="0" borderId="0" xfId="0" applyFont="1"/>
    <xf numFmtId="165" fontId="6" fillId="0" borderId="0" xfId="0" applyNumberFormat="1" applyFont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0" sqref="A30"/>
    </sheetView>
  </sheetViews>
  <sheetFormatPr baseColWidth="10" defaultColWidth="15.28515625" defaultRowHeight="15" x14ac:dyDescent="0.25"/>
  <cols>
    <col min="1" max="1" width="48.42578125" bestFit="1" customWidth="1"/>
    <col min="11" max="11" width="15.5703125" customWidth="1"/>
    <col min="16" max="16" width="20.28515625" customWidth="1"/>
    <col min="17" max="17" width="26.5703125" customWidth="1"/>
    <col min="18" max="18" width="23.42578125" customWidth="1"/>
    <col min="23" max="23" width="80.42578125" customWidth="1"/>
  </cols>
  <sheetData>
    <row r="1" spans="1:23" s="1" customFormat="1" x14ac:dyDescent="0.2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17</v>
      </c>
      <c r="Q1" s="2" t="s">
        <v>29</v>
      </c>
      <c r="R1" s="2" t="s">
        <v>14</v>
      </c>
      <c r="S1" s="1" t="s">
        <v>70</v>
      </c>
      <c r="T1" s="10"/>
    </row>
    <row r="2" spans="1:23" x14ac:dyDescent="0.25">
      <c r="A2" s="3" t="s">
        <v>24</v>
      </c>
      <c r="B2" t="s">
        <v>28</v>
      </c>
      <c r="C2">
        <v>22</v>
      </c>
      <c r="D2">
        <v>15</v>
      </c>
      <c r="E2">
        <v>17</v>
      </c>
      <c r="F2">
        <v>15</v>
      </c>
      <c r="G2">
        <v>22</v>
      </c>
      <c r="H2">
        <v>35</v>
      </c>
      <c r="I2">
        <v>52</v>
      </c>
      <c r="J2">
        <v>51</v>
      </c>
      <c r="K2" t="str" cm="1">
        <f t="array" ref="K2">"{"&amp;_xlfn.TEXTJOIN("; ",TRUE,Vorstudium!C$1:F$1&amp;": "&amp;Vorstudium!C2:F2)&amp;"}"</f>
        <v>{DHBW: 7; Hochschule: 6; Universität: 1; Ausland/k.A.: 1}</v>
      </c>
      <c r="L2" s="5">
        <v>0.88888888888888884</v>
      </c>
      <c r="M2" s="6">
        <v>5.125</v>
      </c>
      <c r="N2" s="6">
        <v>2.8555555555555556</v>
      </c>
      <c r="O2" s="6">
        <v>34.866666666666667</v>
      </c>
      <c r="P2" t="str" cm="1">
        <f t="array" ref="P2">"{"&amp;_xlfn.TEXTJOIN("; ",TRUE,'Doz-Herkunft'!C$1:J$1&amp;": "&amp;'Doz-Herkunft'!C2:J2)&amp;"}"</f>
        <v>{DHBW: 978; andere Hochschule: 306; Forschungsinstitut: ; freiberufl./selbst.: 108; Öffentliche Einrichtung: 148; Rechtsanwalt / StB/ Richter: ; Soz. Einrichtung / Verbände: 48; Unternehmen: 16}</v>
      </c>
      <c r="Q2" t="str" cm="1">
        <f t="array" ref="Q2">_xlfn.LET(
_xlpm.keys,Lehrverflechtung!$B$2:$B$30,
_xlpm.k,ROW()-1,
_xlpm.vals,INDEX(Lehrverflechtung!$C$2:$AE$30,_xlfn.SEQUENCE(29),_xlpm.k),
IF(_xlpm.k&gt;29,"","{"&amp;_xlfn.TEXTJOIN("; ",TRUE,_xlpm.keys&amp;": "&amp;_xlpm.vals)&amp;"}")
)</f>
        <v>{Advanced Practice in Healthcare: 280;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61}</v>
      </c>
      <c r="R2" t="str" cm="1">
        <f t="array" ref="R2">"{"&amp;_xlfn.TEXTJOIN("; ",TRUE,Lehrverflechtung!C$1:AF$1&amp;": "&amp;Lehrverflechtung!C2:AF2)&amp;"}"</f>
        <v>{Advanced Practice in Healthcare: 280; Intensive Care: ; Digitalisierung in der Sozialen Arbeit: ; Governance Sozialer Arbeit: 1;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62}</v>
      </c>
      <c r="S2" s="6">
        <v>8.5</v>
      </c>
    </row>
    <row r="3" spans="1:23" x14ac:dyDescent="0.25">
      <c r="A3" s="3" t="s">
        <v>25</v>
      </c>
      <c r="B3" t="s">
        <v>28</v>
      </c>
      <c r="C3">
        <v>0</v>
      </c>
      <c r="D3">
        <v>0</v>
      </c>
      <c r="E3">
        <v>6</v>
      </c>
      <c r="F3">
        <v>13</v>
      </c>
      <c r="G3">
        <v>0</v>
      </c>
      <c r="H3">
        <v>0</v>
      </c>
      <c r="I3" s="4">
        <v>6</v>
      </c>
      <c r="J3">
        <v>19</v>
      </c>
      <c r="K3" t="str" cm="1">
        <f t="array" ref="K3">"{"&amp;_xlfn.TEXTJOIN("; ",TRUE,Vorstudium!C$1:F$1&amp;": "&amp;Vorstudium!C3:F3)&amp;"}"</f>
        <v>{DHBW: 7; Hochschule: 5; Universität: ; Ausland/k.A.: 1}</v>
      </c>
      <c r="N3" s="6">
        <v>2.2307692307692308</v>
      </c>
      <c r="O3" s="6">
        <v>28.923076923076923</v>
      </c>
      <c r="P3" t="str" cm="1">
        <f t="array" ref="P3">"{"&amp;_xlfn.TEXTJOIN("; ",TRUE,'Doz-Herkunft'!C$1:J$1&amp;": "&amp;'Doz-Herkunft'!C3:J3)&amp;"}"</f>
        <v>{DHBW: 132; andere Hochschule: 52; Forschungsinstitut: 16; freiberufl./selbst.: 92; Öffentliche Einrichtung: 316; Rechtsanwalt / StB/ Richter: ; Soz. Einrichtung / Verbände: ; Unternehmen: 16}</v>
      </c>
      <c r="Q3" t="str" cm="1">
        <f t="array" ref="Q3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96;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R3" t="str" cm="1">
        <f t="array" ref="R3">"{"&amp;_xlfn.TEXTJOIN("; ",TRUE,Lehrverflechtung!C$1:AF$1&amp;": "&amp;Lehrverflechtung!C3:AF3)&amp;"}"</f>
        <v>{Advanced Practice in Healthcare: ; Intensive Care: 96;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4}</v>
      </c>
      <c r="S3" s="6">
        <v>12.75</v>
      </c>
    </row>
    <row r="4" spans="1:23" x14ac:dyDescent="0.25">
      <c r="A4" s="3" t="s">
        <v>42</v>
      </c>
      <c r="B4" t="s">
        <v>26</v>
      </c>
      <c r="C4">
        <v>17</v>
      </c>
      <c r="D4">
        <v>3</v>
      </c>
      <c r="E4">
        <v>10</v>
      </c>
      <c r="F4">
        <v>4</v>
      </c>
      <c r="G4">
        <v>22</v>
      </c>
      <c r="H4">
        <v>23</v>
      </c>
      <c r="I4">
        <v>32</v>
      </c>
      <c r="J4" s="4">
        <v>26</v>
      </c>
      <c r="K4" t="str" cm="1">
        <f t="array" ref="K4">"{"&amp;_xlfn.TEXTJOIN("; ",TRUE,Vorstudium!C$1:F$1&amp;": "&amp;Vorstudium!C4:F4)&amp;"}"</f>
        <v>{DHBW: 3; Hochschule: 1; Universität: ; Ausland/k.A.: }</v>
      </c>
      <c r="L4" s="5">
        <v>0.92307692307692313</v>
      </c>
      <c r="M4" s="6">
        <v>5.5</v>
      </c>
      <c r="N4" s="6">
        <v>3.3333333333333335</v>
      </c>
      <c r="O4" s="6">
        <v>29</v>
      </c>
      <c r="P4" t="str" cm="1">
        <f t="array" ref="P4">"{"&amp;_xlfn.TEXTJOIN("; ",TRUE,'Doz-Herkunft'!C$1:J$1&amp;": "&amp;'Doz-Herkunft'!C4:J4)&amp;"}"</f>
        <v>{DHBW: 404; andere Hochschule: 162; Forschungsinstitut: ; freiberufl./selbst.: 144; Öffentliche Einrichtung: 80; Rechtsanwalt / StB/ Richter: ; Soz. Einrichtung / Verbände: ; Unternehmen: }</v>
      </c>
      <c r="Q4" t="str" cm="1">
        <f t="array" ref="Q4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121; Governance Sozialer Arbeit: 5; Planung und Koordination in der Sozialen Arbeit: 8; Soziale Arbeit in der Migrationsgesellschaft: 2; Transkulturelle Traumapädagogik: 1;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1;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5; Fachübergreifende Kompetenzen: ; Wissenschaftliche Weiterbildung: }</v>
      </c>
      <c r="R4" t="str" cm="1">
        <f t="array" ref="R4">"{"&amp;_xlfn.TEXTJOIN("; ",TRUE,Lehrverflechtung!C$1:AF$1&amp;": "&amp;Lehrverflechtung!C4:AF4)&amp;"}"</f>
        <v>{Advanced Practice in Healthcare: ; Intensive Care: ; Digitalisierung in der Sozialen Arbeit: 121; Governance Sozialer Arbeit: 4; Planung und Koordination in der Sozialen Arbeit: 5; Soziale Arbeit in der Migrationsgesellschaft: 1; Transkulturelle Traumapädagogik: 1;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17}</v>
      </c>
      <c r="S4" s="6">
        <v>6.6</v>
      </c>
    </row>
    <row r="5" spans="1:23" x14ac:dyDescent="0.25">
      <c r="A5" s="3" t="s">
        <v>18</v>
      </c>
      <c r="B5" t="s">
        <v>26</v>
      </c>
      <c r="C5">
        <v>10</v>
      </c>
      <c r="D5">
        <v>14</v>
      </c>
      <c r="E5">
        <v>5</v>
      </c>
      <c r="F5">
        <v>5</v>
      </c>
      <c r="G5">
        <v>55</v>
      </c>
      <c r="H5">
        <v>51</v>
      </c>
      <c r="I5">
        <v>45</v>
      </c>
      <c r="J5">
        <v>40</v>
      </c>
      <c r="K5" t="str" cm="1">
        <f t="array" ref="K5">"{"&amp;_xlfn.TEXTJOIN("; ",TRUE,Vorstudium!C$1:F$1&amp;": "&amp;Vorstudium!C5:F5)&amp;"}"</f>
        <v>{DHBW: 3; Hochschule: 1; Universität: 1; Ausland/k.A.: }</v>
      </c>
      <c r="L5" s="5">
        <v>0.9</v>
      </c>
      <c r="M5" s="6">
        <v>5.1369863013698627</v>
      </c>
      <c r="N5" s="6">
        <v>2</v>
      </c>
      <c r="O5" s="6">
        <v>26.8</v>
      </c>
      <c r="P5" t="str" cm="1">
        <f t="array" ref="P5">"{"&amp;_xlfn.TEXTJOIN("; ",TRUE,'Doz-Herkunft'!C$1:J$1&amp;": "&amp;'Doz-Herkunft'!C5:J5)&amp;"}"</f>
        <v>{DHBW: 638; andere Hochschule: 36; Forschungsinstitut: ; freiberufl./selbst.: 378; Öffentliche Einrichtung: ; Rechtsanwalt / StB/ Richter: 16; Soz. Einrichtung / Verbände: 48; Unternehmen: 64}</v>
      </c>
      <c r="Q5" t="str" cm="1">
        <f t="array" ref="Q5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1; Intensive Care: ; Digitalisierung in der Sozialen Arbeit: 4; Governance Sozialer Arbeit: 101; Planung und Koordination in der Sozialen Arbeit: 9; Soziale Arbeit in der Migrationsgesellschaft: 5; Transkulturelle Traumapädagogik: 7;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R5" t="str" cm="1">
        <f t="array" ref="R5">"{"&amp;_xlfn.TEXTJOIN("; ",TRUE,Lehrverflechtung!C$1:AF$1&amp;": "&amp;Lehrverflechtung!C5:AF5)&amp;"}"</f>
        <v>{Advanced Practice in Healthcare: ; Intensive Care: ; Digitalisierung in der Sozialen Arbeit: 5; Governance Sozialer Arbeit: 101; Planung und Koordination in der Sozialen Arbeit: 18; Soziale Arbeit in der Migrationsgesellschaft: 1; Transkulturelle Traumapädagogik: 1;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S5" s="6">
        <v>6.4</v>
      </c>
    </row>
    <row r="6" spans="1:23" x14ac:dyDescent="0.25">
      <c r="A6" s="3" t="s">
        <v>43</v>
      </c>
      <c r="B6" t="s">
        <v>26</v>
      </c>
      <c r="C6">
        <v>6</v>
      </c>
      <c r="D6">
        <v>10</v>
      </c>
      <c r="E6">
        <v>7</v>
      </c>
      <c r="F6">
        <v>3</v>
      </c>
      <c r="G6">
        <v>19</v>
      </c>
      <c r="H6">
        <v>23</v>
      </c>
      <c r="I6">
        <v>27</v>
      </c>
      <c r="J6">
        <v>19</v>
      </c>
      <c r="K6" t="str" cm="1">
        <f t="array" ref="K6">"{"&amp;_xlfn.TEXTJOIN("; ",TRUE,Vorstudium!C$1:F$1&amp;": "&amp;Vorstudium!C6:F6)&amp;"}"</f>
        <v>{DHBW: 1; Hochschule: ; Universität: 1; Ausland/k.A.: 1}</v>
      </c>
      <c r="L6" s="5">
        <v>0.875</v>
      </c>
      <c r="M6" s="6">
        <v>5.1785714285714288</v>
      </c>
      <c r="N6" s="6">
        <v>1.6111111111111109</v>
      </c>
      <c r="O6" s="6">
        <v>24.666666666666668</v>
      </c>
      <c r="P6" t="str" cm="1">
        <f t="array" ref="P6">"{"&amp;_xlfn.TEXTJOIN("; ",TRUE,'Doz-Herkunft'!C$1:J$1&amp;": "&amp;'Doz-Herkunft'!C6:J6)&amp;"}"</f>
        <v>{DHBW: 360; andere Hochschule: ; Forschungsinstitut: 32; freiberufl./selbst.: 80; Öffentliche Einrichtung: 63; Rechtsanwalt / StB/ Richter: ; Soz. Einrichtung / Verbände: ; Unternehmen: 32}</v>
      </c>
      <c r="Q6" t="str" cm="1">
        <f t="array" ref="Q6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5; Governance Sozialer Arbeit: 18; Planung und Koordination in der Sozialen Arbeit: 88; Soziale Arbeit in der Migrationsgesellschaft: 9; Transkulturelle Traumapädagogik: 10;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R6" t="str" cm="1">
        <f t="array" ref="R6">"{"&amp;_xlfn.TEXTJOIN("; ",TRUE,Lehrverflechtung!C$1:AF$1&amp;": "&amp;Lehrverflechtung!C6:AF6)&amp;"}"</f>
        <v>{Advanced Practice in Healthcare: ; Intensive Care: ; Digitalisierung in der Sozialen Arbeit: 8; Governance Sozialer Arbeit: 9; Planung und Koordination in der Sozialen Arbeit: 88; Soziale Arbeit in der Migrationsgesellschaft: 2;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13}</v>
      </c>
      <c r="S6">
        <v>6.5</v>
      </c>
    </row>
    <row r="7" spans="1:23" x14ac:dyDescent="0.25">
      <c r="A7" t="s">
        <v>19</v>
      </c>
      <c r="B7" t="s">
        <v>26</v>
      </c>
      <c r="C7">
        <v>8</v>
      </c>
      <c r="D7">
        <v>4</v>
      </c>
      <c r="E7">
        <v>6</v>
      </c>
      <c r="F7">
        <v>6</v>
      </c>
      <c r="G7">
        <v>31</v>
      </c>
      <c r="H7">
        <v>30</v>
      </c>
      <c r="I7">
        <v>25</v>
      </c>
      <c r="J7">
        <v>29</v>
      </c>
      <c r="K7" t="str" cm="1">
        <f t="array" ref="K7">"{"&amp;_xlfn.TEXTJOIN("; ",TRUE,Vorstudium!C$1:F$1&amp;": "&amp;Vorstudium!C7:F7)&amp;"}"</f>
        <v>{DHBW: 1; Hochschule: 1; Universität: 4; Ausland/k.A.: }</v>
      </c>
      <c r="L7" s="5">
        <v>0.9</v>
      </c>
      <c r="M7" s="6">
        <v>5.7407407407407405</v>
      </c>
      <c r="N7" s="6">
        <v>1.6527777777777777</v>
      </c>
      <c r="O7" s="6">
        <v>27</v>
      </c>
      <c r="P7" t="str" cm="1">
        <f t="array" ref="P7">"{"&amp;_xlfn.TEXTJOIN("; ",TRUE,'Doz-Herkunft'!C$1:J$1&amp;": "&amp;'Doz-Herkunft'!C7:J7)&amp;"}"</f>
        <v>{DHBW: 336; andere Hochschule: 64; Forschungsinstitut: ; freiberufl./selbst.: 32; Öffentliche Einrichtung: 16; Rechtsanwalt / StB/ Richter: 80; Soz. Einrichtung / Verbände: 32; Unternehmen: 48}</v>
      </c>
      <c r="Q7" t="str" cm="1">
        <f t="array" ref="Q7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1; Governance Sozialer Arbeit: 1; Planung und Koordination in der Sozialen Arbeit: 2; Soziale Arbeit in der Migrationsgesellschaft: 80; Transkulturelle Traumapädagogik: 16;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R7" t="str" cm="1">
        <f t="array" ref="R7">"{"&amp;_xlfn.TEXTJOIN("; ",TRUE,Lehrverflechtung!C$1:AF$1&amp;": "&amp;Lehrverflechtung!C7:AF7)&amp;"}"</f>
        <v>{Advanced Practice in Healthcare: ; Intensive Care: ; Digitalisierung in der Sozialen Arbeit: 2; Governance Sozialer Arbeit: 5; Planung und Koordination in der Sozialen Arbeit: 9; Soziale Arbeit in der Migrationsgesellschaft: 80; Transkulturelle Traumapädagogik: 4;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36}</v>
      </c>
      <c r="S7" s="6">
        <v>5.5</v>
      </c>
    </row>
    <row r="8" spans="1:23" x14ac:dyDescent="0.25">
      <c r="A8" t="s">
        <v>44</v>
      </c>
      <c r="B8" t="s">
        <v>26</v>
      </c>
      <c r="C8">
        <v>0</v>
      </c>
      <c r="D8">
        <v>0</v>
      </c>
      <c r="E8">
        <v>4</v>
      </c>
      <c r="F8">
        <v>10</v>
      </c>
      <c r="G8">
        <v>0</v>
      </c>
      <c r="H8">
        <v>0</v>
      </c>
      <c r="I8">
        <v>4</v>
      </c>
      <c r="J8">
        <v>14</v>
      </c>
      <c r="K8" t="str" cm="1">
        <f t="array" ref="K8">"{"&amp;_xlfn.TEXTJOIN("; ",TRUE,Vorstudium!C$1:F$1&amp;": "&amp;Vorstudium!C8:F8)&amp;"}"</f>
        <v>{DHBW: 6; Hochschule: 2; Universität: 2; Ausland/k.A.: }</v>
      </c>
      <c r="N8" s="6">
        <v>2.7222222222222219</v>
      </c>
      <c r="O8" s="6">
        <v>26.9</v>
      </c>
      <c r="P8" t="str" cm="1">
        <f t="array" ref="P8">"{"&amp;_xlfn.TEXTJOIN("; ",TRUE,'Doz-Herkunft'!C$1:J$1&amp;": "&amp;'Doz-Herkunft'!C8:J8)&amp;"}"</f>
        <v>{DHBW: 224; andere Hochschule: 80; Forschungsinstitut: 56; freiberufl./selbst.: 86; Öffentliche Einrichtung: ; Rechtsanwalt / StB/ Richter: ; Soz. Einrichtung / Verbände: 124; Unternehmen: }</v>
      </c>
      <c r="Q8" t="str" cm="1">
        <f t="array" ref="Q8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1; Governance Sozialer Arbeit: 1; Planung und Koordination in der Sozialen Arbeit: ; Soziale Arbeit in der Migrationsgesellschaft: 4; Transkulturelle Traumapädagogik: 94;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R8" t="str" cm="1">
        <f t="array" ref="R8">"{"&amp;_xlfn.TEXTJOIN("; ",TRUE,Lehrverflechtung!C$1:AF$1&amp;": "&amp;Lehrverflechtung!C8:AF8)&amp;"}"</f>
        <v>{Advanced Practice in Healthcare: ; Intensive Care: ; Digitalisierung in der Sozialen Arbeit: 1; Governance Sozialer Arbeit: 7; Planung und Koordination in der Sozialen Arbeit: 10; Soziale Arbeit in der Migrationsgesellschaft: 16; Transkulturelle Traumapädagogik: 94;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41}</v>
      </c>
      <c r="S8" s="6">
        <v>9.8571428571428577</v>
      </c>
    </row>
    <row r="9" spans="1:23" x14ac:dyDescent="0.25">
      <c r="A9" t="s">
        <v>45</v>
      </c>
      <c r="B9" t="s">
        <v>27</v>
      </c>
      <c r="C9">
        <v>5</v>
      </c>
      <c r="D9">
        <v>14</v>
      </c>
      <c r="E9">
        <v>16</v>
      </c>
      <c r="F9">
        <v>15</v>
      </c>
      <c r="G9">
        <v>6</v>
      </c>
      <c r="H9">
        <v>19</v>
      </c>
      <c r="I9">
        <v>35</v>
      </c>
      <c r="J9">
        <v>47</v>
      </c>
      <c r="K9" t="str" cm="1">
        <f t="array" ref="K9">"{"&amp;_xlfn.TEXTJOIN("; ",TRUE,Vorstudium!C$1:F$1&amp;": "&amp;Vorstudium!C9:F9)&amp;"}"</f>
        <v>{DHBW: 10; Hochschule: 5; Universität: ; Ausland/k.A.: }</v>
      </c>
      <c r="L9" s="5">
        <v>1</v>
      </c>
      <c r="M9" s="6">
        <v>5.333333333333333</v>
      </c>
      <c r="N9" s="6">
        <v>2.2388888888888889</v>
      </c>
      <c r="O9" s="6">
        <v>27</v>
      </c>
      <c r="P9" t="str" cm="1">
        <f t="array" ref="P9">"{"&amp;_xlfn.TEXTJOIN("; ",TRUE,'Doz-Herkunft'!C$1:J$1&amp;": "&amp;'Doz-Herkunft'!C9:J9)&amp;"}"</f>
        <v>{DHBW: 516; andere Hochschule: 16; Forschungsinstitut: 32; freiberufl./selbst.: 96; Öffentliche Einrichtung: 136; Rechtsanwalt / StB/ Richter: ; Soz. Einrichtung / Verbände: ; Unternehmen: 428}</v>
      </c>
      <c r="Q9" t="str" cm="1">
        <f t="array" ref="Q9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205; Elektrotechnik und Informationstechnik: 1; Executive Engineering: ; Informatik: ; Integrated Engineering: 1; Maschinenbau: 2; Wirtschaftsingenieurwesen: 30; Accounting, Controlling, Taxation: ; Data Science and Artificial Intelligence: ; Digital Business Management: ; Entrepreneurship: ; Finance: ; General Business Management: 1; Marketing: ; Master of Business Administration: 1; Media and Data-driven Business: ; Personalmanagement und Wirtschaftspsychologie: 2; Rechnungswesen Steuern Wirtschaftsrecht: ; Sales and Negotiation: ; Supply Chain Management, Logistics, Production: ; Wirtschaftsinformatik: ; Fachübergreifende Kompetenzen: 48; Wissenschaftliche Weiterbildung: }</v>
      </c>
      <c r="R9" t="str" cm="1">
        <f t="array" ref="R9">"{"&amp;_xlfn.TEXTJOIN("; ",TRUE,Lehrverflechtung!C$1:AF$1&amp;": "&amp;Lehrverflechtung!C9:AF9)&amp;"}"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205; Elektrotechnik und Informationstechnik: 1; Executive Engineering: ; Informatik: 1; Integrated Engineering: 4; Maschinenbau: ; Wirtschaftsingenieurwesen: 39;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26}</v>
      </c>
      <c r="S9" s="6">
        <v>13.428571428571429</v>
      </c>
    </row>
    <row r="10" spans="1:23" x14ac:dyDescent="0.25">
      <c r="A10" t="s">
        <v>46</v>
      </c>
      <c r="B10" t="s">
        <v>27</v>
      </c>
      <c r="C10">
        <v>11</v>
      </c>
      <c r="D10">
        <v>21</v>
      </c>
      <c r="E10">
        <v>18</v>
      </c>
      <c r="F10">
        <v>24</v>
      </c>
      <c r="G10">
        <v>44</v>
      </c>
      <c r="H10">
        <v>51</v>
      </c>
      <c r="I10">
        <v>54</v>
      </c>
      <c r="J10">
        <v>64</v>
      </c>
      <c r="K10" t="str" cm="1">
        <f t="array" ref="K10">"{"&amp;_xlfn.TEXTJOIN("; ",TRUE,Vorstudium!C$1:F$1&amp;": "&amp;Vorstudium!C10:F10)&amp;"}"</f>
        <v>{DHBW: 18; Hochschule: 6; Universität: ; Ausland/k.A.: }</v>
      </c>
      <c r="L10" s="5">
        <v>0.93670886075949367</v>
      </c>
      <c r="M10" s="6">
        <v>5.6216216216216219</v>
      </c>
      <c r="N10" s="6">
        <v>2.2083333333333335</v>
      </c>
      <c r="O10" s="6">
        <v>25.208333333333332</v>
      </c>
      <c r="P10" t="str" cm="1">
        <f t="array" ref="P10">"{"&amp;_xlfn.TEXTJOIN("; ",TRUE,'Doz-Herkunft'!C$1:J$1&amp;": "&amp;'Doz-Herkunft'!C10:J10)&amp;"}"</f>
        <v>{DHBW: 1158; andere Hochschule: 72; Forschungsinstitut: 32; freiberufl./selbst.: 60; Öffentliche Einrichtung: ; Rechtsanwalt / StB/ Richter: ; Soz. Einrichtung / Verbände: ; Unternehmen: 26}</v>
      </c>
      <c r="Q10" t="str" cm="1">
        <f t="array" ref="Q10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1; Elektrotechnik und Informationstechnik: 167; Executive Engineering: ; Informatik: 56; Integrated Engineering: 31; Maschinenbau: 38; Wirtschaftsingenieurwesen: 33; Accounting, Controlling, Taxation: ; Data Science and Artificial Intelligence: 1; Digital Business Management: ; Entrepreneurship: ; Finance: ; General Business Management: ; Marketing: ; Master of Business Administration: ; Media and Data-driven Business: 1; Personalmanagement und Wirtschaftspsychologie: 1; Rechnungswesen Steuern Wirtschaftsrecht: ; Sales and Negotiation: 1; Supply Chain Management, Logistics, Production: ; Wirtschaftsinformatik: ; Fachübergreifende Kompetenzen: 68; Wissenschaftliche Weiterbildung: }</v>
      </c>
      <c r="R10" t="str" cm="1">
        <f t="array" ref="R10">"{"&amp;_xlfn.TEXTJOIN("; ",TRUE,Lehrverflechtung!C$1:AF$1&amp;": "&amp;Lehrverflechtung!C10:AF10)&amp;"}"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1; Elektrotechnik und Informationstechnik: 167; Executive Engineering: ; Informatik: 2; Integrated Engineering: 36; Maschinenbau: 5; Wirtschaftsingenieurwesen: 19; Accounting, Controlling, Taxation: ; Data Science and Artificial Intelligence: ; Digital Business Management: ; Entrepreneurship: ; Finance: 1; General Business Management: 1;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21}</v>
      </c>
      <c r="S10" s="6">
        <v>13</v>
      </c>
      <c r="W10" s="8"/>
    </row>
    <row r="11" spans="1:23" x14ac:dyDescent="0.25">
      <c r="A11" t="s">
        <v>47</v>
      </c>
      <c r="B11" t="s">
        <v>27</v>
      </c>
      <c r="C11">
        <v>0</v>
      </c>
      <c r="D11">
        <v>5</v>
      </c>
      <c r="E11">
        <v>9</v>
      </c>
      <c r="F11">
        <v>6</v>
      </c>
      <c r="G11">
        <v>0</v>
      </c>
      <c r="H11">
        <v>4</v>
      </c>
      <c r="I11">
        <v>13</v>
      </c>
      <c r="J11">
        <v>18</v>
      </c>
      <c r="K11" t="str" cm="1">
        <f t="array" ref="K11">"{"&amp;_xlfn.TEXTJOIN("; ",TRUE,Vorstudium!C$1:F$1&amp;": "&amp;Vorstudium!C11:F11)&amp;"}"</f>
        <v>{DHBW: 6; Hochschule: ; Universität: ; Ausland/k.A.: }</v>
      </c>
      <c r="L11" s="5">
        <v>0.5</v>
      </c>
      <c r="M11" s="6">
        <v>5</v>
      </c>
      <c r="N11" s="6">
        <v>2.9305555555555554</v>
      </c>
      <c r="O11" s="6">
        <v>25.333333333333332</v>
      </c>
      <c r="P11" t="str" cm="1">
        <f t="array" ref="P11">"{"&amp;_xlfn.TEXTJOIN("; ",TRUE,'Doz-Herkunft'!C$1:J$1&amp;": "&amp;'Doz-Herkunft'!C11:J11)&amp;"}"</f>
        <v>{DHBW: 396; andere Hochschule: 50; Forschungsinstitut: 56; freiberufl./selbst.: 70; Öffentliche Einrichtung: 2; Rechtsanwalt / StB/ Richter: ; Soz. Einrichtung / Verbände: 8; Unternehmen: 114}</v>
      </c>
      <c r="Q11" t="str" cm="1">
        <f t="array" ref="Q11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105; Informatik: 2; Integrated Engineering: ; Maschinenbau: 3; Wirtschaftsingenieurwesen: 21; Accounting, Controlling, Taxation: ; Data Science and Artificial Intelligence: ; Digital Business Management: ; Entrepreneurship: 3; Finance: ; General Business Management: ; Marketing: ; Master of Business Administration: ; Media and Data-driven Business: 1; Personalmanagement und Wirtschaftspsychologie: 2; Rechnungswesen Steuern Wirtschaftsrecht: ; Sales and Negotiation: ; Supply Chain Management, Logistics, Production: ; Wirtschaftsinformatik: ; Fachübergreifende Kompetenzen: 42; Wissenschaftliche Weiterbildung: }</v>
      </c>
      <c r="R11" t="str" cm="1">
        <f t="array" ref="R11">"{"&amp;_xlfn.TEXTJOIN("; ",TRUE,Lehrverflechtung!C$1:AF$1&amp;": "&amp;Lehrverflechtung!C11:AF11)&amp;"}"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105;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}</v>
      </c>
      <c r="S11" s="6">
        <v>6.75</v>
      </c>
    </row>
    <row r="12" spans="1:23" x14ac:dyDescent="0.25">
      <c r="A12" t="s">
        <v>20</v>
      </c>
      <c r="B12" t="s">
        <v>27</v>
      </c>
      <c r="C12">
        <v>27</v>
      </c>
      <c r="D12">
        <v>39</v>
      </c>
      <c r="E12">
        <v>36</v>
      </c>
      <c r="F12">
        <v>39</v>
      </c>
      <c r="G12">
        <v>100</v>
      </c>
      <c r="H12">
        <v>115</v>
      </c>
      <c r="I12">
        <v>118</v>
      </c>
      <c r="J12">
        <v>124</v>
      </c>
      <c r="K12" t="str" cm="1">
        <f t="array" ref="K12">"{"&amp;_xlfn.TEXTJOIN("; ",TRUE,Vorstudium!C$1:F$1&amp;": "&amp;Vorstudium!C12:F12)&amp;"}"</f>
        <v>{DHBW: 30; Hochschule: 5; Universität: 2; Ausland/k.A.: 2}</v>
      </c>
      <c r="L12" s="5">
        <v>0.85135135135135132</v>
      </c>
      <c r="M12" s="6">
        <v>6.427777777777778</v>
      </c>
      <c r="N12" s="6">
        <v>2.3653846153846154</v>
      </c>
      <c r="O12" s="6">
        <v>25.820512820512821</v>
      </c>
      <c r="P12" t="str" cm="1">
        <f t="array" ref="P12">"{"&amp;_xlfn.TEXTJOIN("; ",TRUE,'Doz-Herkunft'!C$1:J$1&amp;": "&amp;'Doz-Herkunft'!C12:J12)&amp;"}"</f>
        <v>{DHBW: 1560; andere Hochschule: 16; Forschungsinstitut: 128; freiberufl./selbst.: 96; Öffentliche Einrichtung: ; Rechtsanwalt / StB/ Richter: ; Soz. Einrichtung / Verbände: ; Unternehmen: 24}</v>
      </c>
      <c r="Q12" t="str" cm="1">
        <f t="array" ref="Q12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1; Elektrotechnik und Informationstechnik: 2; Executive Engineering: ; Informatik: 369; Integrated Engineering: 12; Maschinenbau: 1; Wirtschaftsingenieurwesen: 42; Accounting, Controlling, Taxation: ; Data Science and Artificial Intelligence: 11; Digital Business Management: ; Entrepreneurship: ; Finance: ; General Business Management: ; Marketing: ; Master of Business Administration: ; Media and Data-driven Business: 28; Personalmanagement und Wirtschaftspsychologie: 3; Rechnungswesen Steuern Wirtschaftsrecht: ; Sales and Negotiation: 1; Supply Chain Management, Logistics, Production: ; Wirtschaftsinformatik: 136; Fachübergreifende Kompetenzen: 131; Wissenschaftliche Weiterbildung: }</v>
      </c>
      <c r="R12" t="str" cm="1">
        <f t="array" ref="R12">"{"&amp;_xlfn.TEXTJOIN("; ",TRUE,Lehrverflechtung!C$1:AF$1&amp;": "&amp;Lehrverflechtung!C12:AF12)&amp;"}"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56; Executive Engineering: 2; Informatik: 369; Integrated Engineering: 23; Maschinenbau: 13; Wirtschaftsingenieurwesen: 28; Accounting, Controlling, Taxation: ; Data Science and Artificial Intelligence: 5; Digital Business Management: 2; Entrepreneurship: ; Finance: ; General Business Management: ; Marketing: ; Master of Business Administration: ; Media and Data-driven Business: 2; Personalmanagement und Wirtschaftspsychologie: ; Rechnungswesen Steuern Wirtschaftsrecht: ; Sales and Negotiation: ; Supply Chain Management, Logistics, Production: ; Wirtschaftsinformatik: 89; Fachübergreifende Kompetenzen: ; Wissenschaftliche Weiterbildung: 61}</v>
      </c>
      <c r="S12" s="6">
        <v>16.666666666666668</v>
      </c>
    </row>
    <row r="13" spans="1:23" x14ac:dyDescent="0.25">
      <c r="A13" t="s">
        <v>21</v>
      </c>
      <c r="B13" t="s">
        <v>27</v>
      </c>
      <c r="C13">
        <v>20</v>
      </c>
      <c r="D13">
        <v>37</v>
      </c>
      <c r="E13">
        <v>31</v>
      </c>
      <c r="F13">
        <v>22</v>
      </c>
      <c r="G13">
        <v>116</v>
      </c>
      <c r="H13">
        <v>120</v>
      </c>
      <c r="I13">
        <v>117</v>
      </c>
      <c r="J13">
        <v>115</v>
      </c>
      <c r="K13" t="str" cm="1">
        <f t="array" ref="K13">"{"&amp;_xlfn.TEXTJOIN("; ",TRUE,Vorstudium!C$1:F$1&amp;": "&amp;Vorstudium!C13:F13)&amp;"}"</f>
        <v>{DHBW: 18; Hochschule: 4; Universität: ; Ausland/k.A.: }</v>
      </c>
      <c r="L13" s="5">
        <v>0.97927461139896377</v>
      </c>
      <c r="M13" s="6">
        <v>6.2645502645502642</v>
      </c>
      <c r="N13" s="6">
        <v>2.5606060606060606</v>
      </c>
      <c r="O13" s="6">
        <v>26.272727272727273</v>
      </c>
      <c r="P13" t="str" cm="1">
        <f t="array" ref="P13">"{"&amp;_xlfn.TEXTJOIN("; ",TRUE,'Doz-Herkunft'!C$1:J$1&amp;": "&amp;'Doz-Herkunft'!C13:J13)&amp;"}"</f>
        <v>{DHBW: 1032; andere Hochschule: 72; Forschungsinstitut: 64; freiberufl./selbst.: 160; Öffentliche Einrichtung: ; Rechtsanwalt / StB/ Richter: ; Soz. Einrichtung / Verbände: ; Unternehmen: }</v>
      </c>
      <c r="Q13" t="str" cm="1">
        <f t="array" ref="Q13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4; Elektrotechnik und Informationstechnik: 36; Executive Engineering: ; Informatik: 23; Integrated Engineering: 103; Maschinenbau: 86; Wirtschaftsingenieurwesen: 160; Accounting, Controlling, Taxation: 1; Data Science and Artificial Intelligence: ; Digital Business Management: 7; Entrepreneurship: ; Finance: ; General Business Management: 3; Marketing: ; Master of Business Administration: 2; Media and Data-driven Business: 4; Personalmanagement und Wirtschaftspsychologie: 1; Rechnungswesen Steuern Wirtschaftsrecht: ; Sales and Negotiation: 3; Supply Chain Management, Logistics, Production: ; Wirtschaftsinformatik: 18; Fachübergreifende Kompetenzen: 80; Wissenschaftliche Weiterbildung: }</v>
      </c>
      <c r="R13" t="str" cm="1">
        <f t="array" ref="R13">"{"&amp;_xlfn.TEXTJOIN("; ",TRUE,Lehrverflechtung!C$1:AF$1&amp;": "&amp;Lehrverflechtung!C13:AF13)&amp;"}"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1; Elektrotechnik und Informationstechnik: 31; Executive Engineering: ; Informatik: 12; Integrated Engineering: 103; Maschinenbau: 3; Wirtschaftsingenieurwesen: 29; Accounting, Controlling, Taxation: ; Data Science and Artificial Intelligence: ; Digital Business Management: ; Entrepreneurship: ; Finance: ; General Business Management: 1; Marketing: ; Master of Business Administration: ; Media and Data-driven Business: ; Personalmanagement und Wirtschaftspsychologie: ; Rechnungswesen Steuern Wirtschaftsrecht: ; Sales and Negotiation: ; Supply Chain Management, Logistics, Production: ; Wirtschaftsinformatik: 3; Fachübergreifende Kompetenzen: ; Wissenschaftliche Weiterbildung: 41}</v>
      </c>
      <c r="S13" s="6">
        <v>11.4</v>
      </c>
    </row>
    <row r="14" spans="1:23" x14ac:dyDescent="0.25">
      <c r="A14" t="s">
        <v>48</v>
      </c>
      <c r="B14" t="s">
        <v>27</v>
      </c>
      <c r="C14">
        <v>27</v>
      </c>
      <c r="D14">
        <v>22</v>
      </c>
      <c r="E14">
        <v>25</v>
      </c>
      <c r="F14">
        <v>17</v>
      </c>
      <c r="G14">
        <v>113</v>
      </c>
      <c r="H14">
        <v>106</v>
      </c>
      <c r="I14">
        <v>89</v>
      </c>
      <c r="J14">
        <v>78</v>
      </c>
      <c r="K14" t="str" cm="1">
        <f t="array" ref="K14">"{"&amp;_xlfn.TEXTJOIN("; ",TRUE,Vorstudium!C$1:F$1&amp;": "&amp;Vorstudium!C14:F14)&amp;"}"</f>
        <v>{DHBW: 14; Hochschule: 3; Universität: ; Ausland/k.A.: }</v>
      </c>
      <c r="L14" s="5">
        <v>0.9668674698795181</v>
      </c>
      <c r="M14" s="6">
        <v>5.890675241157556</v>
      </c>
      <c r="N14" s="6">
        <v>2.2647058823529411</v>
      </c>
      <c r="O14" s="6">
        <v>25.117647058823529</v>
      </c>
      <c r="P14" t="str" cm="1">
        <f t="array" ref="P14">"{"&amp;_xlfn.TEXTJOIN("; ",TRUE,'Doz-Herkunft'!C$1:J$1&amp;": "&amp;'Doz-Herkunft'!C14:J14)&amp;"}"</f>
        <v>{DHBW: 1634; andere Hochschule: 74; Forschungsinstitut: 64; freiberufl./selbst.: ; Öffentliche Einrichtung: ; Rechtsanwalt / StB/ Richter: ; Soz. Einrichtung / Verbände: ; Unternehmen: 326}</v>
      </c>
      <c r="Q14" t="str" cm="1">
        <f t="array" ref="Q14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5; Executive Engineering: ; Informatik: 13; Integrated Engineering: 3; Maschinenbau: 294; Wirtschaftsingenieurwesen: 78; Accounting, Controlling, Taxation: ; Data Science and Artificial Intelligence: ; Digital Business Management: ; Entrepreneurship: ; Finance: ; General Business Management: 1;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51; Wissenschaftliche Weiterbildung: }</v>
      </c>
      <c r="R14" t="str" cm="1">
        <f t="array" ref="R14">"{"&amp;_xlfn.TEXTJOIN("; ",TRUE,Lehrverflechtung!C$1:AF$1&amp;": "&amp;Lehrverflechtung!C14:AF14)&amp;"}"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2; Elektrotechnik und Informationstechnik: 38; Executive Engineering: 3; Informatik: 1; Integrated Engineering: 86; Maschinenbau: 294; Wirtschaftsingenieurwesen: 132; Accounting, Controlling, Taxation: ; Data Science and Artificial Intelligence: ; Digital Business Management: 1;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34}</v>
      </c>
      <c r="S14" s="6">
        <v>16</v>
      </c>
    </row>
    <row r="15" spans="1:23" x14ac:dyDescent="0.25">
      <c r="A15" t="s">
        <v>49</v>
      </c>
      <c r="B15" t="s">
        <v>27</v>
      </c>
      <c r="C15">
        <v>56</v>
      </c>
      <c r="D15">
        <v>61</v>
      </c>
      <c r="E15">
        <v>38</v>
      </c>
      <c r="F15">
        <v>43</v>
      </c>
      <c r="G15">
        <v>249</v>
      </c>
      <c r="H15">
        <v>246</v>
      </c>
      <c r="I15">
        <v>210</v>
      </c>
      <c r="J15">
        <v>183</v>
      </c>
      <c r="K15" t="str" cm="1">
        <f t="array" ref="K15">"{"&amp;_xlfn.TEXTJOIN("; ",TRUE,Vorstudium!C$1:F$1&amp;": "&amp;Vorstudium!C15:F15)&amp;"}"</f>
        <v>{DHBW: 32; Hochschule: 9; Universität: 2; Ausland/k.A.: }</v>
      </c>
      <c r="L15" s="5">
        <v>0.96142433234421365</v>
      </c>
      <c r="M15" s="6">
        <v>6.0343749999999998</v>
      </c>
      <c r="N15" s="6">
        <v>2.3217054263565893</v>
      </c>
      <c r="O15" s="6">
        <v>26.279069767441861</v>
      </c>
      <c r="P15" t="str" cm="1">
        <f t="array" ref="P15">"{"&amp;_xlfn.TEXTJOIN("; ",TRUE,'Doz-Herkunft'!C$1:J$1&amp;": "&amp;'Doz-Herkunft'!C15:J15)&amp;"}"</f>
        <v>{DHBW: 2436; andere Hochschule: 128; Forschungsinstitut: 12; freiberufl./selbst.: 274; Öffentliche Einrichtung: ; Rechtsanwalt / StB/ Richter: ; Soz. Einrichtung / Verbände: ; Unternehmen: 362}</v>
      </c>
      <c r="Q15" t="str" cm="1">
        <f t="array" ref="Q15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39; Elektrotechnik und Informationstechnik: 19; Executive Engineering: ; Informatik: 28; Integrated Engineering: 29; Maschinenbau: 132; Wirtschaftsingenieurwesen: 421; Accounting, Controlling, Taxation: 16; Data Science and Artificial Intelligence: ; Digital Business Management: 6; Entrepreneurship: ; Finance: ; General Business Management: 8; Marketing: 1; Master of Business Administration: 4; Media and Data-driven Business: 17; Personalmanagement und Wirtschaftspsychologie: 15; Rechnungswesen Steuern Wirtschaftsrecht: ; Sales and Negotiation: 11; Supply Chain Management, Logistics, Production: 15; Wirtschaftsinformatik: 43; Fachübergreifende Kompetenzen: 142; Wissenschaftliche Weiterbildung: }</v>
      </c>
      <c r="R15" t="str" cm="1">
        <f t="array" ref="R15">"{"&amp;_xlfn.TEXTJOIN("; ",TRUE,Lehrverflechtung!C$1:AF$1&amp;": "&amp;Lehrverflechtung!C15:AF15)&amp;"}"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30; Elektrotechnik und Informationstechnik: 33; Executive Engineering: 21; Informatik: 42; Integrated Engineering: 160; Maschinenbau: 78; Wirtschaftsingenieurwesen: 421; Accounting, Controlling, Taxation: ; Data Science and Artificial Intelligence: 1; Digital Business Management: 4; Entrepreneurship: ; Finance: 4; General Business Management: 12; Marketing: ; Master of Business Administration: ; Media and Data-driven Business: ; Personalmanagement und Wirtschaftspsychologie: 6; Rechnungswesen Steuern Wirtschaftsrecht: ; Sales and Negotiation: ; Supply Chain Management, Logistics, Production: 12; Wirtschaftsinformatik: 5; Fachübergreifende Kompetenzen: ; Wissenschaftliche Weiterbildung: 63}</v>
      </c>
      <c r="S15" s="6">
        <v>18.5</v>
      </c>
    </row>
    <row r="16" spans="1:23" x14ac:dyDescent="0.25">
      <c r="A16" t="s">
        <v>22</v>
      </c>
      <c r="B16" t="s">
        <v>16</v>
      </c>
      <c r="C16">
        <v>27</v>
      </c>
      <c r="D16">
        <v>19</v>
      </c>
      <c r="E16">
        <v>22</v>
      </c>
      <c r="F16">
        <v>19</v>
      </c>
      <c r="G16">
        <v>66</v>
      </c>
      <c r="H16">
        <v>74</v>
      </c>
      <c r="I16">
        <v>63</v>
      </c>
      <c r="J16">
        <v>58</v>
      </c>
      <c r="K16" t="str" cm="1">
        <f t="array" ref="K16">"{"&amp;_xlfn.TEXTJOIN("; ",TRUE,Vorstudium!C$1:F$1&amp;": "&amp;Vorstudium!C16:F16)&amp;"}"</f>
        <v>{DHBW: 10; Hochschule: 8; Universität: 1; Ausland/k.A.: }</v>
      </c>
      <c r="L16" s="5">
        <v>0.8529411764705882</v>
      </c>
      <c r="M16" s="6">
        <v>4.2413793103448274</v>
      </c>
      <c r="N16" s="6">
        <v>3.2982456140350878</v>
      </c>
      <c r="O16" s="6">
        <v>26.631578947368421</v>
      </c>
      <c r="P16" t="str" cm="1">
        <f t="array" ref="P16">"{"&amp;_xlfn.TEXTJOIN("; ",TRUE,'Doz-Herkunft'!C$1:J$1&amp;": "&amp;'Doz-Herkunft'!C16:J16)&amp;"}"</f>
        <v>{DHBW: 1236; andere Hochschule: 32; Forschungsinstitut: ; freiberufl./selbst.: ; Öffentliche Einrichtung: ; Rechtsanwalt / StB/ Richter: 48; Soz. Einrichtung / Verbände: ; Unternehmen: 64}</v>
      </c>
      <c r="Q16" t="str" cm="1">
        <f t="array" ref="Q16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185; Data Science and Artificial Intelligence: ; Digital Business Management: 3; Entrepreneurship: 1; Finance: 23; General Business Management: 32; Marketing: ; Master of Business Administration: ; Media and Data-driven Business: 10; Personalmanagement und Wirtschaftspsychologie: 46; Rechnungswesen Steuern Wirtschaftsrecht: ; Sales and Negotiation: 1; Supply Chain Management, Logistics, Production: 1; Wirtschaftsinformatik: 3; Fachübergreifende Kompetenzen: 68; Wissenschaftliche Weiterbildung: }</v>
      </c>
      <c r="R16" t="str" cm="1">
        <f t="array" ref="R16">"{"&amp;_xlfn.TEXTJOIN("; ",TRUE,Lehrverflechtung!C$1:AF$1&amp;": "&amp;Lehrverflechtung!C16:AF16)&amp;"}"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1; Maschinenbau: ; Wirtschaftsingenieurwesen: 16; Accounting, Controlling, Taxation: 185; Data Science and Artificial Intelligence: ; Digital Business Management: 1; Entrepreneurship: ; Finance: 16; General Business Management: 41; Marketing: ; Master of Business Administration: 3; Media and Data-driven Business: 1; Personalmanagement und Wirtschaftspsychologie: ; Rechnungswesen Steuern Wirtschaftsrecht: ; Sales and Negotiation: ; Supply Chain Management, Logistics, Production: 12; Wirtschaftsinformatik: 2; Fachübergreifende Kompetenzen: ; Wissenschaftliche Weiterbildung: 29}</v>
      </c>
      <c r="S16" s="6">
        <v>14.333333333333334</v>
      </c>
    </row>
    <row r="17" spans="1:19" x14ac:dyDescent="0.25">
      <c r="A17" t="s">
        <v>50</v>
      </c>
      <c r="B17" t="s">
        <v>16</v>
      </c>
      <c r="C17">
        <v>0</v>
      </c>
      <c r="D17">
        <v>0</v>
      </c>
      <c r="E17">
        <v>0</v>
      </c>
      <c r="F17">
        <v>8</v>
      </c>
      <c r="G17">
        <v>0</v>
      </c>
      <c r="H17">
        <v>0</v>
      </c>
      <c r="I17">
        <v>0</v>
      </c>
      <c r="J17">
        <v>8</v>
      </c>
      <c r="K17" t="str" cm="1">
        <f t="array" ref="K17">"{"&amp;_xlfn.TEXTJOIN("; ",TRUE,Vorstudium!C$1:F$1&amp;": "&amp;Vorstudium!C17:F17)&amp;"}"</f>
        <v>{DHBW: 6; Hochschule: 1; Universität: ; Ausland/k.A.: 1}</v>
      </c>
      <c r="N17" s="6">
        <v>3.4270833333333335</v>
      </c>
      <c r="O17" s="6">
        <v>28.25</v>
      </c>
      <c r="P17" t="str" cm="1">
        <f t="array" ref="P17">"{"&amp;_xlfn.TEXTJOIN("; ",TRUE,'Doz-Herkunft'!C$1:J$1&amp;": "&amp;'Doz-Herkunft'!C17:J17)&amp;"}"</f>
        <v>{DHBW: ; andere Hochschule: ; Forschungsinstitut: ; freiberufl./selbst.: ; Öffentliche Einrichtung: ; Rechtsanwalt / StB/ Richter: ; Soz. Einrichtung / Verbände: ; Unternehmen: }</v>
      </c>
      <c r="Q17" t="str" cm="1">
        <f t="array" ref="Q17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5; Integrated Engineering: ; Maschinenbau: ; Wirtschaftsingenieurwesen: 1; Accounting, Controlling, Taxation: ; Data Science and Artificial Intelligence: 58; Digital Business Management: 1; Entrepreneurship: ; Finance: 1;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14; Fachübergreifende Kompetenzen: 10; Wissenschaftliche Weiterbildung: }</v>
      </c>
      <c r="R17" t="str" cm="1">
        <f t="array" ref="R17">"{"&amp;_xlfn.TEXTJOIN("; ",TRUE,Lehrverflechtung!C$1:AF$1&amp;": "&amp;Lehrverflechtung!C17:AF17)&amp;"}"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1; Executive Engineering: ; Informatik: 11; Integrated Engineering: ; Maschinenbau: ; Wirtschaftsingenieurwesen: ; Accounting, Controlling, Taxation: ; Data Science and Artificial Intelligence: 58; Digital Business Management: ; Entrepreneurship: ; Finance: ; General Business Management: ; Marketing: ; Master of Business Administration: ; Media and Data-driven Business: ; Personalmanagement und Wirtschaftspsychologie: ; Rechnungswesen Steuern Wirtschaftsrecht: ; Sales and Negotiation: ; Supply Chain Management, Logistics, Production: ; Wirtschaftsinformatik: 3; Fachübergreifende Kompetenzen: ; Wissenschaftliche Weiterbildung: 11}</v>
      </c>
      <c r="S17" s="6">
        <v>6</v>
      </c>
    </row>
    <row r="18" spans="1:19" x14ac:dyDescent="0.25">
      <c r="A18" t="s">
        <v>23</v>
      </c>
      <c r="B18" t="s">
        <v>16</v>
      </c>
      <c r="C18">
        <v>27</v>
      </c>
      <c r="D18">
        <v>18</v>
      </c>
      <c r="E18">
        <v>18</v>
      </c>
      <c r="F18">
        <v>9</v>
      </c>
      <c r="G18">
        <v>53</v>
      </c>
      <c r="H18">
        <v>62</v>
      </c>
      <c r="I18">
        <v>60</v>
      </c>
      <c r="J18">
        <v>53</v>
      </c>
      <c r="K18" t="str" cm="1">
        <f t="array" ref="K18">"{"&amp;_xlfn.TEXTJOIN("; ",TRUE,Vorstudium!C$1:F$1&amp;": "&amp;Vorstudium!C18:F18)&amp;"}"</f>
        <v>{DHBW: 8; Hochschule: 1; Universität: ; Ausland/k.A.: }</v>
      </c>
      <c r="L18" s="5">
        <v>0.95652173913043481</v>
      </c>
      <c r="M18" s="6">
        <v>4.75</v>
      </c>
      <c r="N18" s="6">
        <v>1.7708333333333333</v>
      </c>
      <c r="O18" s="6">
        <v>24.888888888888889</v>
      </c>
      <c r="P18" t="str" cm="1">
        <f t="array" ref="P18">"{"&amp;_xlfn.TEXTJOIN("; ",TRUE,'Doz-Herkunft'!C$1:J$1&amp;": "&amp;'Doz-Herkunft'!C18:J18)&amp;"}"</f>
        <v>{DHBW: 1225; andere Hochschule: 48; Forschungsinstitut: ; freiberufl./selbst.: ; Öffentliche Einrichtung: ; Rechtsanwalt / StB/ Richter: ; Soz. Einrichtung / Verbände: ; Unternehmen: 16}</v>
      </c>
      <c r="Q18" t="str" cm="1">
        <f t="array" ref="Q18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2; Integrated Engineering: ; Maschinenbau: 1; Wirtschaftsingenieurwesen: 4; Accounting, Controlling, Taxation: 1; Data Science and Artificial Intelligence: ; Digital Business Management: 111; Entrepreneurship: 1; Finance: ; General Business Management: 17; Marketing: 4; Master of Business Administration: ; Media and Data-driven Business: 1; Personalmanagement und Wirtschaftspsychologie: 4; Rechnungswesen Steuern Wirtschaftsrecht: ; Sales and Negotiation: 2; Supply Chain Management, Logistics, Production: ; Wirtschaftsinformatik: 23; Fachübergreifende Kompetenzen: 43; Wissenschaftliche Weiterbildung: }</v>
      </c>
      <c r="R18" t="str" cm="1">
        <f t="array" ref="R18">"{"&amp;_xlfn.TEXTJOIN("; ",TRUE,Lehrverflechtung!C$1:AF$1&amp;": "&amp;Lehrverflechtung!C18:AF18)&amp;"}"</f>
        <v>{Advanced Practice in Healthcare: ; Intensive Care: ; Digitalisierung in der Sozialen Arbeit: 1;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7; Maschinenbau: ; Wirtschaftsingenieurwesen: 6; Accounting, Controlling, Taxation: 3; Data Science and Artificial Intelligence: 1; Digital Business Management: 111; Entrepreneurship: ; Finance: 1; General Business Management: 35; Marketing: 10; Master of Business Administration: 5; Media and Data-driven Business: 4; Personalmanagement und Wirtschaftspsychologie: ; Rechnungswesen Steuern Wirtschaftsrecht: ; Sales and Negotiation: 7; Supply Chain Management, Logistics, Production: 8; Wirtschaftsinformatik: 50; Fachübergreifende Kompetenzen: ; Wissenschaftliche Weiterbildung: 8}</v>
      </c>
      <c r="S18" s="6">
        <v>10.428571428571429</v>
      </c>
    </row>
    <row r="19" spans="1:19" x14ac:dyDescent="0.25">
      <c r="A19" t="s">
        <v>51</v>
      </c>
      <c r="B19" t="s">
        <v>16</v>
      </c>
      <c r="C19">
        <v>11</v>
      </c>
      <c r="D19">
        <v>3</v>
      </c>
      <c r="E19">
        <v>5</v>
      </c>
      <c r="F19">
        <v>5</v>
      </c>
      <c r="G19">
        <v>11</v>
      </c>
      <c r="H19">
        <v>13</v>
      </c>
      <c r="I19">
        <v>17</v>
      </c>
      <c r="J19">
        <v>17</v>
      </c>
      <c r="K19" t="str" cm="1">
        <f t="array" ref="K19">"{"&amp;_xlfn.TEXTJOIN("; ",TRUE,Vorstudium!C$1:F$1&amp;": "&amp;Vorstudium!C19:F19)&amp;"}"</f>
        <v>{DHBW: 4; Hochschule: 1; Universität: ; Ausland/k.A.: }</v>
      </c>
      <c r="L19" s="5">
        <v>0.5714285714285714</v>
      </c>
      <c r="M19" s="6">
        <v>4.25</v>
      </c>
      <c r="N19" s="6">
        <v>1.1500000000000001</v>
      </c>
      <c r="O19" s="6">
        <v>27.6</v>
      </c>
      <c r="P19" t="str" cm="1">
        <f t="array" ref="P19">"{"&amp;_xlfn.TEXTJOIN("; ",TRUE,'Doz-Herkunft'!C$1:J$1&amp;": "&amp;'Doz-Herkunft'!C19:J19)&amp;"}"</f>
        <v>{DHBW: 488; andere Hochschule: ; Forschungsinstitut: ; freiberufl./selbst.: 20; Öffentliche Einrichtung: ; Rechtsanwalt / StB/ Richter: ; Soz. Einrichtung / Verbände: ; Unternehmen: }</v>
      </c>
      <c r="Q19" t="str" cm="1">
        <f t="array" ref="Q19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45; Finance: ; General Business Management: 5; Marketing: 3; Master of Business Administration: ; Media and Data-driven Business: 1; Personalmanagement und Wirtschaftspsychologie: ; Rechnungswesen Steuern Wirtschaftsrecht: ; Sales and Negotiation: ; Supply Chain Management, Logistics, Production: ; Wirtschaftsinformatik: ; Fachübergreifende Kompetenzen: 14; Wissenschaftliche Weiterbildung: }</v>
      </c>
      <c r="R19" t="str" cm="1">
        <f t="array" ref="R19">"{"&amp;_xlfn.TEXTJOIN("; ",TRUE,Lehrverflechtung!C$1:AF$1&amp;": "&amp;Lehrverflechtung!C19:AF19)&amp;"}"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3; Informatik: ; Integrated Engineering: ; Maschinenbau: ; Wirtschaftsingenieurwesen: ; Accounting, Controlling, Taxation: 1; Data Science and Artificial Intelligence: ; Digital Business Management: 1; Entrepreneurship: 45; Finance: 1; General Business Management: 46; Marketing: ; Master of Business Administration: 1; Media and Data-driven Business: ; Personalmanagement und Wirtschaftspsychologie: ; Rechnungswesen Steuern Wirtschaftsrecht: ; Sales and Negotiation: 3; Supply Chain Management, Logistics, Production: ; Wirtschaftsinformatik: ; Fachübergreifende Kompetenzen: ; Wissenschaftliche Weiterbildung: 22}</v>
      </c>
      <c r="S19" s="6">
        <v>11.666666666666666</v>
      </c>
    </row>
    <row r="20" spans="1:19" x14ac:dyDescent="0.25">
      <c r="A20" t="s">
        <v>52</v>
      </c>
      <c r="B20" t="s">
        <v>16</v>
      </c>
      <c r="C20">
        <v>16</v>
      </c>
      <c r="D20">
        <v>16</v>
      </c>
      <c r="E20">
        <v>16</v>
      </c>
      <c r="F20">
        <v>14</v>
      </c>
      <c r="G20">
        <v>38</v>
      </c>
      <c r="H20">
        <v>47</v>
      </c>
      <c r="I20">
        <v>42</v>
      </c>
      <c r="J20">
        <v>39</v>
      </c>
      <c r="K20" t="str" cm="1">
        <f t="array" ref="K20">"{"&amp;_xlfn.TEXTJOIN("; ",TRUE,Vorstudium!C$1:F$1&amp;": "&amp;Vorstudium!C20:F20)&amp;"}"</f>
        <v>{DHBW: 12; Hochschule: 2; Universität: ; Ausland/k.A.: }</v>
      </c>
      <c r="L20" s="5">
        <v>0.97777777777777775</v>
      </c>
      <c r="M20" s="6">
        <v>3.9318181818181817</v>
      </c>
      <c r="N20" s="6">
        <v>1.4358974358974359</v>
      </c>
      <c r="O20" s="6">
        <v>25.071428571428573</v>
      </c>
      <c r="P20" t="str" cm="1">
        <f t="array" ref="P20">"{"&amp;_xlfn.TEXTJOIN("; ",TRUE,'Doz-Herkunft'!C$1:J$1&amp;": "&amp;'Doz-Herkunft'!C20:J20)&amp;"}"</f>
        <v>{DHBW: 728; andere Hochschule: 72; Forschungsinstitut: ; freiberufl./selbst.: ; Öffentliche Einrichtung: ; Rechtsanwalt / StB/ Richter: 16; Soz. Einrichtung / Verbände: ; Unternehmen: 136}</v>
      </c>
      <c r="Q20" t="str" cm="1">
        <f t="array" ref="Q20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1; Executive Engineering: ; Informatik: ; Integrated Engineering: ; Maschinenbau: ; Wirtschaftsingenieurwesen: 4; Accounting, Controlling, Taxation: 16; Data Science and Artificial Intelligence: ; Digital Business Management: 1; Entrepreneurship: 1; Finance: 103; General Business Management: 45; Marketing: ; Master of Business Administration: ; Media and Data-driven Business: 1; Personalmanagement und Wirtschaftspsychologie: 3; Rechnungswesen Steuern Wirtschaftsrecht: ; Sales and Negotiation: ; Supply Chain Management, Logistics, Production: ; Wirtschaftsinformatik: ; Fachübergreifende Kompetenzen: 42; Wissenschaftliche Weiterbildung: }</v>
      </c>
      <c r="R20" t="str" cm="1">
        <f t="array" ref="R20">"{"&amp;_xlfn.TEXTJOIN("; ",TRUE,Lehrverflechtung!C$1:AF$1&amp;": "&amp;Lehrverflechtung!C20:AF20)&amp;"}"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23; Data Science and Artificial Intelligence: 1; Digital Business Management: ; Entrepreneurship: ; Finance: 103; General Business Management: 12; Marketing: ; Master of Business Administration: 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11}</v>
      </c>
      <c r="S20" s="6">
        <v>11.25</v>
      </c>
    </row>
    <row r="21" spans="1:19" x14ac:dyDescent="0.25">
      <c r="A21" t="s">
        <v>53</v>
      </c>
      <c r="B21" t="s">
        <v>16</v>
      </c>
      <c r="C21">
        <v>40</v>
      </c>
      <c r="D21">
        <v>42</v>
      </c>
      <c r="E21">
        <v>31</v>
      </c>
      <c r="F21">
        <v>45</v>
      </c>
      <c r="G21">
        <v>94</v>
      </c>
      <c r="H21">
        <v>120</v>
      </c>
      <c r="I21">
        <v>94</v>
      </c>
      <c r="J21">
        <v>101</v>
      </c>
      <c r="K21" t="str" cm="1">
        <f t="array" ref="K21">"{"&amp;_xlfn.TEXTJOIN("; ",TRUE,Vorstudium!C$1:F$1&amp;": "&amp;Vorstudium!C21:F21)&amp;"}"</f>
        <v>{DHBW: 39; Hochschule: 4; Universität: 1; Ausland/k.A.: 1}</v>
      </c>
      <c r="L21" s="5">
        <v>0.9553571428571429</v>
      </c>
      <c r="M21" s="6">
        <v>3.8691588785046731</v>
      </c>
      <c r="N21" s="6">
        <v>2.1856060606060606</v>
      </c>
      <c r="O21" s="6">
        <v>25.488888888888887</v>
      </c>
      <c r="P21" t="str" cm="1">
        <f t="array" ref="P21">"{"&amp;_xlfn.TEXTJOIN("; ",TRUE,'Doz-Herkunft'!C$1:J$1&amp;": "&amp;'Doz-Herkunft'!C21:J21)&amp;"}"</f>
        <v>{DHBW: 1194; andere Hochschule: 16; Forschungsinstitut: ; freiberufl./selbst.: ; Öffentliche Einrichtung: ; Rechtsanwalt / StB/ Richter: ; Soz. Einrichtung / Verbände: ; Unternehmen: 112}</v>
      </c>
      <c r="Q21" t="str" cm="1">
        <f t="array" ref="Q21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1; Executive Engineering: ; Informatik: ; Integrated Engineering: 1; Maschinenbau: ; Wirtschaftsingenieurwesen: 12; Accounting, Controlling, Taxation: 41; Data Science and Artificial Intelligence: ; Digital Business Management: 35; Entrepreneurship: 46; Finance: 12; General Business Management: 230; Marketing: 20; Master of Business Administration: 1; Media and Data-driven Business: 14; Personalmanagement und Wirtschaftspsychologie: 86; Rechnungswesen Steuern Wirtschaftsrecht: ; Sales and Negotiation: 47; Supply Chain Management, Logistics, Production: 7; Wirtschaftsinformatik: 22; Fachübergreifende Kompetenzen: 133; Wissenschaftliche Weiterbildung: }</v>
      </c>
      <c r="R21" t="str" cm="1">
        <f t="array" ref="R21">"{"&amp;_xlfn.TEXTJOIN("; ",TRUE,Lehrverflechtung!C$1:AF$1&amp;": "&amp;Lehrverflechtung!C21:AF21)&amp;"}"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1; Elektrotechnik und Informationstechnik: ; Executive Engineering: ; Informatik: ; Integrated Engineering: 3; Maschinenbau: 1; Wirtschaftsingenieurwesen: 8; Accounting, Controlling, Taxation: 32; Data Science and Artificial Intelligence: ; Digital Business Management: 17; Entrepreneurship: 5; Finance: 45; General Business Management: 230; Marketing: 11; Master of Business Administration: 12; Media and Data-driven Business: 1; Personalmanagement und Wirtschaftspsychologie: 8; Rechnungswesen Steuern Wirtschaftsrecht: ; Sales and Negotiation: 28; Supply Chain Management, Logistics, Production: 17; Wirtschaftsinformatik: 13; Fachübergreifende Kompetenzen: ; Wissenschaftliche Weiterbildung: 29}</v>
      </c>
      <c r="S21" s="6">
        <v>22</v>
      </c>
    </row>
    <row r="22" spans="1:19" x14ac:dyDescent="0.25">
      <c r="A22" t="s">
        <v>54</v>
      </c>
      <c r="B22" t="s">
        <v>16</v>
      </c>
      <c r="C22">
        <v>9</v>
      </c>
      <c r="D22">
        <v>14</v>
      </c>
      <c r="E22">
        <v>6</v>
      </c>
      <c r="F22">
        <v>5</v>
      </c>
      <c r="G22">
        <v>29</v>
      </c>
      <c r="H22">
        <v>34</v>
      </c>
      <c r="I22">
        <v>29</v>
      </c>
      <c r="J22">
        <v>26</v>
      </c>
      <c r="K22" t="str" cm="1">
        <f t="array" ref="K22">"{"&amp;_xlfn.TEXTJOIN("; ",TRUE,Vorstudium!C$1:F$1&amp;": "&amp;Vorstudium!C22:F22)&amp;"}"</f>
        <v>{DHBW: 2; Hochschule: 2; Universität: 1; Ausland/k.A.: }</v>
      </c>
      <c r="L22" s="5">
        <v>0.9642857142857143</v>
      </c>
      <c r="M22" s="6">
        <v>4.2962962962962967</v>
      </c>
      <c r="N22" s="6">
        <v>1.9333333333333333</v>
      </c>
      <c r="O22" s="6">
        <v>27.8</v>
      </c>
      <c r="P22" t="str" cm="1">
        <f t="array" ref="P22">"{"&amp;_xlfn.TEXTJOIN("; ",TRUE,'Doz-Herkunft'!C$1:J$1&amp;": "&amp;'Doz-Herkunft'!C22:J22)&amp;"}"</f>
        <v>{DHBW: 618; andere Hochschule: 24; Forschungsinstitut: ; freiberufl./selbst.: ; Öffentliche Einrichtung: ; Rechtsanwalt / StB/ Richter: ; Soz. Einrichtung / Verbände: ; Unternehmen: 16}</v>
      </c>
      <c r="Q22" t="str" cm="1">
        <f t="array" ref="Q22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10; Entrepreneurship: ; Finance: ; General Business Management: 11; Marketing: 47; Master of Business Administration: ; Media and Data-driven Business: 1; Personalmanagement und Wirtschaftspsychologie: 8; Rechnungswesen Steuern Wirtschaftsrecht: ; Sales and Negotiation: 13; Supply Chain Management, Logistics, Production: ; Wirtschaftsinformatik: ; Fachübergreifende Kompetenzen: 22; Wissenschaftliche Weiterbildung: }</v>
      </c>
      <c r="R22" t="str" cm="1">
        <f t="array" ref="R22">"{"&amp;_xlfn.TEXTJOIN("; ",TRUE,Lehrverflechtung!C$1:AF$1&amp;": "&amp;Lehrverflechtung!C22:AF22)&amp;"}"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1; Accounting, Controlling, Taxation: ; Data Science and Artificial Intelligence: ; Digital Business Management: 4; Entrepreneurship: 3; Finance: ; General Business Management: 20; Marketing: 47; Master of Business Administration: 2; Media and Data-driven Business: 1; Personalmanagement und Wirtschaftspsychologie: 1; Rechnungswesen Steuern Wirtschaftsrecht: ; Sales and Negotiation: 5; Supply Chain Management, Logistics, Production: 1; Wirtschaftsinformatik: 8; Fachübergreifende Kompetenzen: ; Wissenschaftliche Weiterbildung: 5}</v>
      </c>
      <c r="S22" s="6">
        <v>8.6666666666666661</v>
      </c>
    </row>
    <row r="23" spans="1:19" x14ac:dyDescent="0.25">
      <c r="A23" t="s">
        <v>55</v>
      </c>
      <c r="B23" t="s">
        <v>16</v>
      </c>
      <c r="C23">
        <v>13</v>
      </c>
      <c r="D23">
        <v>13</v>
      </c>
      <c r="E23">
        <v>14</v>
      </c>
      <c r="F23">
        <v>14</v>
      </c>
      <c r="G23">
        <v>25</v>
      </c>
      <c r="H23">
        <v>33</v>
      </c>
      <c r="I23">
        <v>33</v>
      </c>
      <c r="J23">
        <v>40</v>
      </c>
      <c r="K23" t="str" cm="1">
        <f t="array" ref="K23">"{"&amp;_xlfn.TEXTJOIN("; ",TRUE,Vorstudium!C$1:F$1&amp;": "&amp;Vorstudium!C23:F23)&amp;"}"</f>
        <v>{DHBW: 4; Hochschule: 4; Universität: 6; Ausland/k.A.: }</v>
      </c>
      <c r="L23" s="5">
        <v>0.92307692307692313</v>
      </c>
      <c r="M23" s="6">
        <v>3.8333333333333335</v>
      </c>
      <c r="N23" s="6">
        <v>4.333333333333333</v>
      </c>
      <c r="O23" s="6">
        <v>29.214285714285715</v>
      </c>
      <c r="P23" t="str" cm="1">
        <f t="array" ref="P23">"{"&amp;_xlfn.TEXTJOIN("; ",TRUE,'Doz-Herkunft'!C$1:J$1&amp;": "&amp;'Doz-Herkunft'!C23:J23)&amp;"}"</f>
        <v>{DHBW: 1144; andere Hochschule: ; Forschungsinstitut: ; freiberufl./selbst.: 32; Öffentliche Einrichtung: ; Rechtsanwalt / StB/ Richter: ; Soz. Einrichtung / Verbände: ; Unternehmen: }</v>
      </c>
      <c r="Q23" t="str" cm="1">
        <f t="array" ref="Q23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3; Data Science and Artificial Intelligence: ; Digital Business Management: 5; Entrepreneurship: 1; Finance: ; General Business Management: 12; Marketing: 2; Master of Business Administration: 175; Media and Data-driven Business: 2; Personalmanagement und Wirtschaftspsychologie: 28; Rechnungswesen Steuern Wirtschaftsrecht: ; Sales and Negotiation: 2; Supply Chain Management, Logistics, Production: ; Wirtschaftsinformatik: ; Fachübergreifende Kompetenzen: 40; Wissenschaftliche Weiterbildung: }</v>
      </c>
      <c r="R23" t="str" cm="1">
        <f t="array" ref="R23">"{"&amp;_xlfn.TEXTJOIN("; ",TRUE,Lehrverflechtung!C$1:AF$1&amp;": "&amp;Lehrverflechtung!C23:AF23)&amp;"}"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1; Elektrotechnik und Informationstechnik: ; Executive Engineering: ; Informatik: ; Integrated Engineering: 2; Maschinenbau: ; Wirtschaftsingenieurwesen: 4; Accounting, Controlling, Taxation: ; Data Science and Artificial Intelligence: ; Digital Business Management: ; Entrepreneurship: ; Finance: ; General Business Management: 1; Marketing: ; Master of Business Administration: 175; Media and Data-driven Business: ; Personalmanagement und Wirtschaftspsychologie: ; Rechnungswesen Steuern Wirtschaftsrecht: ; Sales and Negotiation: ; Supply Chain Management, Logistics, Production: ; Wirtschaftsinformatik: ; Fachübergreifende Kompetenzen: ; Wissenschaftliche Weiterbildung: 79}</v>
      </c>
      <c r="S23" s="6">
        <v>14.7</v>
      </c>
    </row>
    <row r="24" spans="1:19" x14ac:dyDescent="0.25">
      <c r="A24" t="s">
        <v>56</v>
      </c>
      <c r="B24" t="s">
        <v>16</v>
      </c>
      <c r="C24">
        <v>12</v>
      </c>
      <c r="D24">
        <v>6</v>
      </c>
      <c r="E24">
        <v>8</v>
      </c>
      <c r="F24">
        <v>3</v>
      </c>
      <c r="G24">
        <v>23</v>
      </c>
      <c r="H24">
        <v>21</v>
      </c>
      <c r="I24">
        <v>21</v>
      </c>
      <c r="J24">
        <v>16</v>
      </c>
      <c r="K24" t="str" cm="1">
        <f t="array" ref="K24">"{"&amp;_xlfn.TEXTJOIN("; ",TRUE,Vorstudium!C$1:F$1&amp;": "&amp;Vorstudium!C24:F24)&amp;"}"</f>
        <v>{DHBW: 3; Hochschule: ; Universität: ; Ausland/k.A.: }</v>
      </c>
      <c r="L24" s="5">
        <v>0.83333333333333337</v>
      </c>
      <c r="M24" s="6">
        <v>3.65</v>
      </c>
      <c r="N24" s="6">
        <v>2.5</v>
      </c>
      <c r="O24" s="6">
        <v>24.333333333333332</v>
      </c>
      <c r="P24" t="str" cm="1">
        <f t="array" ref="P24">"{"&amp;_xlfn.TEXTJOIN("; ",TRUE,'Doz-Herkunft'!C$1:J$1&amp;": "&amp;'Doz-Herkunft'!C24:J24)&amp;"}"</f>
        <v>{DHBW: 749; andere Hochschule: 133; Forschungsinstitut: ; freiberufl./selbst.: ; Öffentliche Einrichtung: ; Rechtsanwalt / StB/ Richter: ; Soz. Einrichtung / Verbände: ; Unternehmen: 8}</v>
      </c>
      <c r="Q24" t="str" cm="1">
        <f t="array" ref="Q24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2; Integrated Engineering: ; Maschinenbau: ; Wirtschaftsingenieurwesen: ; Accounting, Controlling, Taxation: 1; Data Science and Artificial Intelligence: ; Digital Business Management: 4; Entrepreneurship: ; Finance: ; General Business Management: 1; Marketing: 1; Master of Business Administration: ; Media and Data-driven Business: 62; Personalmanagement und Wirtschaftspsychologie: 1; Rechnungswesen Steuern Wirtschaftsrecht: ; Sales and Negotiation: 1; Supply Chain Management, Logistics, Production: ; Wirtschaftsinformatik: 5; Fachübergreifende Kompetenzen: 25; Wissenschaftliche Weiterbildung: }</v>
      </c>
      <c r="R24" t="str" cm="1">
        <f t="array" ref="R24">"{"&amp;_xlfn.TEXTJOIN("; ",TRUE,Lehrverflechtung!C$1:AF$1&amp;": "&amp;Lehrverflechtung!C24:AF24)&amp;"}"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1; Executive Engineering: 1; Informatik: 28; Integrated Engineering: 4; Maschinenbau: ; Wirtschaftsingenieurwesen: 17; Accounting, Controlling, Taxation: 10; Data Science and Artificial Intelligence: ; Digital Business Management: 1; Entrepreneurship: 1; Finance: 1; General Business Management: 14; Marketing: 1; Master of Business Administration: 2; Media and Data-driven Business: 62; Personalmanagement und Wirtschaftspsychologie: ; Rechnungswesen Steuern Wirtschaftsrecht: ; Sales and Negotiation: 1; Supply Chain Management, Logistics, Production: 1; Wirtschaftsinformatik: 12; Fachübergreifende Kompetenzen: ; Wissenschaftliche Weiterbildung: 2}</v>
      </c>
      <c r="S24" s="6">
        <v>15</v>
      </c>
    </row>
    <row r="25" spans="1:19" x14ac:dyDescent="0.25">
      <c r="A25" t="s">
        <v>57</v>
      </c>
      <c r="B25" t="s">
        <v>16</v>
      </c>
      <c r="C25">
        <v>26</v>
      </c>
      <c r="D25">
        <v>27</v>
      </c>
      <c r="E25">
        <v>31</v>
      </c>
      <c r="F25">
        <v>22</v>
      </c>
      <c r="G25">
        <v>54</v>
      </c>
      <c r="H25">
        <v>70</v>
      </c>
      <c r="I25">
        <v>76</v>
      </c>
      <c r="J25">
        <v>71</v>
      </c>
      <c r="K25" t="str" cm="1">
        <f t="array" ref="K25">"{"&amp;_xlfn.TEXTJOIN("; ",TRUE,Vorstudium!C$1:F$1&amp;": "&amp;Vorstudium!C25:F25)&amp;"}"</f>
        <v>{DHBW: 14; Hochschule: 5; Universität: 1; Ausland/k.A.: 2}</v>
      </c>
      <c r="L25" s="5">
        <v>0.92063492063492058</v>
      </c>
      <c r="M25" s="6">
        <v>4.2413793103448274</v>
      </c>
      <c r="N25" s="6">
        <v>2.1008771929824559</v>
      </c>
      <c r="O25" s="6">
        <v>26.818181818181817</v>
      </c>
      <c r="P25" t="str" cm="1">
        <f t="array" ref="P25">"{"&amp;_xlfn.TEXTJOIN("; ",TRUE,'Doz-Herkunft'!C$1:J$1&amp;": "&amp;'Doz-Herkunft'!C25:J25)&amp;"}"</f>
        <v>{DHBW: 1888; andere Hochschule: ; Forschungsinstitut: ; freiberufl./selbst.: 24; Öffentliche Einrichtung: ; Rechtsanwalt / StB/ Richter: ; Soz. Einrichtung / Verbände: ; Unternehmen: 32}</v>
      </c>
      <c r="Q25" t="str" cm="1">
        <f t="array" ref="Q25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6; Accounting, Controlling, Taxation: ; Data Science and Artificial Intelligence: ; Digital Business Management: ; Entrepreneurship: ; Finance: ; General Business Management: 8; Marketing: 1; Master of Business Administration: ; Media and Data-driven Business: ; Personalmanagement und Wirtschaftspsychologie: 360; Rechnungswesen Steuern Wirtschaftsrecht: ; Sales and Negotiation: 1; Supply Chain Management, Logistics, Production: ; Wirtschaftsinformatik: 1; Fachübergreifende Kompetenzen: 83; Wissenschaftliche Weiterbildung: }</v>
      </c>
      <c r="R25" t="str" cm="1">
        <f t="array" ref="R25">"{"&amp;_xlfn.TEXTJOIN("; ",TRUE,Lehrverflechtung!C$1:AF$1&amp;": "&amp;Lehrverflechtung!C25:AF25)&amp;"}"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2; Elektrotechnik und Informationstechnik: 1; Executive Engineering: 2; Informatik: 3; Integrated Engineering: 1; Maschinenbau: ; Wirtschaftsingenieurwesen: 15; Accounting, Controlling, Taxation: 46; Data Science and Artificial Intelligence: ; Digital Business Management: 4; Entrepreneurship: ; Finance: 3; General Business Management: 86; Marketing: 8; Master of Business Administration: 28; Media and Data-driven Business: 1; Personalmanagement und Wirtschaftspsychologie: 360; Rechnungswesen Steuern Wirtschaftsrecht: ; Sales and Negotiation: 10; Supply Chain Management, Logistics, Production: 5; Wirtschaftsinformatik: 16; Fachübergreifende Kompetenzen: ; Wissenschaftliche Weiterbildung: 43}</v>
      </c>
      <c r="S25" s="6">
        <v>16.399999999999999</v>
      </c>
    </row>
    <row r="26" spans="1:19" x14ac:dyDescent="0.25">
      <c r="A26" t="s">
        <v>58</v>
      </c>
      <c r="B26" t="s">
        <v>16</v>
      </c>
      <c r="C26">
        <v>12</v>
      </c>
      <c r="D26">
        <v>14</v>
      </c>
      <c r="E26">
        <v>21</v>
      </c>
      <c r="F26">
        <v>43</v>
      </c>
      <c r="G26">
        <v>52</v>
      </c>
      <c r="H26">
        <v>42</v>
      </c>
      <c r="I26">
        <v>45</v>
      </c>
      <c r="J26">
        <v>79</v>
      </c>
      <c r="K26" t="str" cm="1">
        <f t="array" ref="K26">"{"&amp;_xlfn.TEXTJOIN("; ",TRUE,Vorstudium!C$1:F$1&amp;": "&amp;Vorstudium!C26:F26)&amp;"}"</f>
        <v>{DHBW: 32; Hochschule: 8; Universität: 2; Ausland/k.A.: 1}</v>
      </c>
      <c r="L26" s="5">
        <v>0.91111111111111109</v>
      </c>
      <c r="M26" s="6">
        <v>4.0948275862068968</v>
      </c>
      <c r="N26" s="6">
        <v>1.9416666666666667</v>
      </c>
      <c r="O26" s="6">
        <v>25.534883720930232</v>
      </c>
      <c r="P26" t="str" cm="1">
        <f t="array" ref="P26">"{"&amp;_xlfn.TEXTJOIN("; ",TRUE,'Doz-Herkunft'!C$1:J$1&amp;": "&amp;'Doz-Herkunft'!C26:J26)&amp;"}"</f>
        <v>{DHBW: 1298; andere Hochschule: 140; Forschungsinstitut: ; freiberufl./selbst.: ; Öffentliche Einrichtung: 60; Rechtsanwalt / StB/ Richter: 412; Soz. Einrichtung / Verbände: ; Unternehmen: 132}</v>
      </c>
      <c r="Q26" t="str" cm="1">
        <f t="array" ref="Q26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242; Sales and Negotiation: ; Supply Chain Management, Logistics, Production: ; Wirtschaftsinformatik: ; Fachübergreifende Kompetenzen: ; Wissenschaftliche Weiterbildung: }</v>
      </c>
      <c r="R26" t="str" cm="1">
        <f t="array" ref="R26">"{"&amp;_xlfn.TEXTJOIN("; ",TRUE,Lehrverflechtung!C$1:AF$1&amp;": "&amp;Lehrverflechtung!C26:AF26)&amp;"}"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; Entrepreneurship: ; Finance: ; General Business Management: ; Marketing: ; Master of Business Administration: ; Media and Data-driven Business: ; Personalmanagement und Wirtschaftspsychologie: ; Rechnungswesen Steuern Wirtschaftsrecht: 242; Sales and Negotiation: ; Supply Chain Management, Logistics, Production: ; Wirtschaftsinformatik: ; Fachübergreifende Kompetenzen: ; Wissenschaftliche Weiterbildung: 135}</v>
      </c>
      <c r="S26" s="6">
        <v>20.2</v>
      </c>
    </row>
    <row r="27" spans="1:19" x14ac:dyDescent="0.25">
      <c r="A27" t="s">
        <v>59</v>
      </c>
      <c r="B27" t="s">
        <v>16</v>
      </c>
      <c r="C27">
        <v>11</v>
      </c>
      <c r="D27">
        <v>7</v>
      </c>
      <c r="E27">
        <v>4</v>
      </c>
      <c r="F27">
        <v>7</v>
      </c>
      <c r="G27">
        <v>22</v>
      </c>
      <c r="H27">
        <v>25</v>
      </c>
      <c r="I27">
        <v>20</v>
      </c>
      <c r="J27">
        <v>18</v>
      </c>
      <c r="K27" t="str" cm="1">
        <f t="array" ref="K27">"{"&amp;_xlfn.TEXTJOIN("; ",TRUE,Vorstudium!C$1:F$1&amp;": "&amp;Vorstudium!C27:F27)&amp;"}"</f>
        <v>{DHBW: 5; Hochschule: 1; Universität: 1; Ausland/k.A.: }</v>
      </c>
      <c r="L27" s="5">
        <v>1</v>
      </c>
      <c r="M27" s="6">
        <v>4.3809523809523814</v>
      </c>
      <c r="N27" s="6">
        <v>1.7361111111111109</v>
      </c>
      <c r="O27" s="6">
        <v>25.428571428571427</v>
      </c>
      <c r="P27" t="str" cm="1">
        <f t="array" ref="P27">"{"&amp;_xlfn.TEXTJOIN("; ",TRUE,'Doz-Herkunft'!C$1:J$1&amp;": "&amp;'Doz-Herkunft'!C27:J27)&amp;"}"</f>
        <v>{DHBW: 392; andere Hochschule: 64; Forschungsinstitut: 32; freiberufl./selbst.: ; Öffentliche Einrichtung: ; Rechtsanwalt / StB/ Richter: ; Soz. Einrichtung / Verbände: ; Unternehmen: }</v>
      </c>
      <c r="Q27" t="str" cm="1">
        <f t="array" ref="Q27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; Accounting, Controlling, Taxation: ; Data Science and Artificial Intelligence: ; Digital Business Management: 7; Entrepreneurship: 3; Finance: ; General Business Management: 28; Marketing: 5; Master of Business Administration: ; Media and Data-driven Business: 1; Personalmanagement und Wirtschaftspsychologie: 10; Rechnungswesen Steuern Wirtschaftsrecht: ; Sales and Negotiation: 41; Supply Chain Management, Logistics, Production: 3; Wirtschaftsinformatik: 5; Fachübergreifende Kompetenzen: 22; Wissenschaftliche Weiterbildung: }</v>
      </c>
      <c r="R27" t="str" cm="1">
        <f t="array" ref="R27">"{"&amp;_xlfn.TEXTJOIN("; ",TRUE,Lehrverflechtung!C$1:AF$1&amp;": "&amp;Lehrverflechtung!C27:AF27)&amp;"}"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1; Executive Engineering: ; Informatik: 1; Integrated Engineering: 3; Maschinenbau: ; Wirtschaftsingenieurwesen: 11; Accounting, Controlling, Taxation: 1; Data Science and Artificial Intelligence: ; Digital Business Management: 2; Entrepreneurship: ; Finance: ; General Business Management: 47; Marketing: 13; Master of Business Administration: 2; Media and Data-driven Business: 1; Personalmanagement und Wirtschaftspsychologie: 1; Rechnungswesen Steuern Wirtschaftsrecht: ; Sales and Negotiation: 41; Supply Chain Management, Logistics, Production: 2; Wirtschaftsinformatik: ; Fachübergreifende Kompetenzen: ; Wissenschaftliche Weiterbildung: 10}</v>
      </c>
      <c r="S27" s="6">
        <v>18.3</v>
      </c>
    </row>
    <row r="28" spans="1:19" x14ac:dyDescent="0.25">
      <c r="A28" t="s">
        <v>60</v>
      </c>
      <c r="B28" t="s">
        <v>16</v>
      </c>
      <c r="C28">
        <v>17</v>
      </c>
      <c r="D28">
        <v>20</v>
      </c>
      <c r="E28">
        <v>11</v>
      </c>
      <c r="F28">
        <v>9</v>
      </c>
      <c r="G28">
        <v>34</v>
      </c>
      <c r="H28">
        <v>46</v>
      </c>
      <c r="I28">
        <v>45</v>
      </c>
      <c r="J28">
        <v>40</v>
      </c>
      <c r="K28" t="str" cm="1">
        <f t="array" ref="K28">"{"&amp;_xlfn.TEXTJOIN("; ",TRUE,Vorstudium!C$1:F$1&amp;": "&amp;Vorstudium!C28:F28)&amp;"}"</f>
        <v>{DHBW: 6; Hochschule: 3; Universität: ; Ausland/k.A.: }</v>
      </c>
      <c r="L28" s="5">
        <v>0.8571428571428571</v>
      </c>
      <c r="M28" s="6">
        <v>4.0999999999999996</v>
      </c>
      <c r="N28" s="6">
        <v>2.1296296296296298</v>
      </c>
      <c r="O28" s="6">
        <v>25.666666666666668</v>
      </c>
      <c r="P28" t="str" cm="1">
        <f t="array" ref="P28">"{"&amp;_xlfn.TEXTJOIN("; ",TRUE,'Doz-Herkunft'!C$1:J$1&amp;": "&amp;'Doz-Herkunft'!C28:J28)&amp;"}"</f>
        <v>{DHBW: 614; andere Hochschule: ; Forschungsinstitut: ; freiberufl./selbst.: ; Öffentliche Einrichtung: ; Rechtsanwalt / StB/ Richter: 16; Soz. Einrichtung / Verbände: ; Unternehmen: }</v>
      </c>
      <c r="Q28" t="str" cm="1">
        <f t="array" ref="Q28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12; Accounting, Controlling, Taxation: 12; Data Science and Artificial Intelligence: ; Digital Business Management: 8; Entrepreneurship: ; Finance: ; General Business Management: 17; Marketing: 1; Master of Business Administration: ; Media and Data-driven Business: 1; Personalmanagement und Wirtschaftspsychologie: 5; Rechnungswesen Steuern Wirtschaftsrecht: ; Sales and Negotiation: 2; Supply Chain Management, Logistics, Production: 92; Wirtschaftsinformatik: 1; Fachübergreifende Kompetenzen: 33; Wissenschaftliche Weiterbildung: }</v>
      </c>
      <c r="R28" t="str" cm="1">
        <f t="array" ref="R28">"{"&amp;_xlfn.TEXTJOIN("; ",TRUE,Lehrverflechtung!C$1:AF$1&amp;": "&amp;Lehrverflechtung!C28:AF28)&amp;"}"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; Integrated Engineering: ; Maschinenbau: ; Wirtschaftsingenieurwesen: 15; Accounting, Controlling, Taxation: 1; Data Science and Artificial Intelligence: ; Digital Business Management: ; Entrepreneurship: ; Finance: ; General Business Management: 7; Marketing: ; Master of Business Administration: ; Media and Data-driven Business: ; Personalmanagement und Wirtschaftspsychologie: ; Rechnungswesen Steuern Wirtschaftsrecht: ; Sales and Negotiation: 3; Supply Chain Management, Logistics, Production: 92; Wirtschaftsinformatik: 6; Fachübergreifende Kompetenzen: ; Wissenschaftliche Weiterbildung: 19}</v>
      </c>
      <c r="S28" s="6">
        <v>11.5</v>
      </c>
    </row>
    <row r="29" spans="1:19" x14ac:dyDescent="0.25">
      <c r="A29" t="s">
        <v>61</v>
      </c>
      <c r="B29" t="s">
        <v>16</v>
      </c>
      <c r="C29">
        <v>48</v>
      </c>
      <c r="D29">
        <v>40</v>
      </c>
      <c r="E29">
        <v>31</v>
      </c>
      <c r="F29">
        <v>26</v>
      </c>
      <c r="G29">
        <v>160</v>
      </c>
      <c r="H29">
        <v>148</v>
      </c>
      <c r="I29">
        <v>132</v>
      </c>
      <c r="J29">
        <v>119</v>
      </c>
      <c r="K29" t="str" cm="1">
        <f t="array" ref="K29">"{"&amp;_xlfn.TEXTJOIN("; ",TRUE,Vorstudium!C$1:F$1&amp;": "&amp;Vorstudium!C29:F29)&amp;"}"</f>
        <v>{DHBW: 22; Hochschule: 3; Universität: 1; Ausland/k.A.: }</v>
      </c>
      <c r="L29" s="5">
        <v>0.82539682539682535</v>
      </c>
      <c r="M29" s="6">
        <v>5.447115384615385</v>
      </c>
      <c r="N29" s="6">
        <v>2.5801282051282048</v>
      </c>
      <c r="O29" s="6">
        <v>25.615384615384617</v>
      </c>
      <c r="P29" t="str" cm="1">
        <f t="array" ref="P29">"{"&amp;_xlfn.TEXTJOIN("; ",TRUE,'Doz-Herkunft'!C$1:J$1&amp;": "&amp;'Doz-Herkunft'!C29:J29)&amp;"}"</f>
        <v>{DHBW: 2787; andere Hochschule: ; Forschungsinstitut: 90; freiberufl./selbst.: 36; Öffentliche Einrichtung: ; Rechtsanwalt / StB/ Richter: ; Soz. Einrichtung / Verbände: ; Unternehmen: 13}</v>
      </c>
      <c r="Q29" t="str" cm="1">
        <f t="array" ref="Q29">_xlfn.LET(
_xlpm.keys,Lehrverflechtung!$B$2:$B$31,
_xlpm.k,ROW()-1,
_xlpm.vals,INDEX(Lehrverflechtung!$C$2:$AF$31,_xlfn.SEQUENCE(30),_xlpm.k),
IF(_xlpm.k&gt;30,"","{"&amp;_xlfn.TEXTJOIN("; ",TRUE,_xlpm.keys&amp;": "&amp;_xlpm.vals)&amp;"}")
)</f>
        <v>{Advanced Practice in Healthcare: ; Intensive Care: ; Digitalisierung in der Sozialen Arbeit: ; Governance Sozialer Arbeit: ; Planung und Koordination in der Sozialen Arbeit: ; Soziale Arbeit in der Migrationsgesellschaft: ; Transkulturelle Traumapädagogik: ; Bauingenieurwesen: ; Elektrotechnik und Informationstechnik: ; Executive Engineering: ; Informatik: 89; Integrated Engineering: 3; Maschinenbau: ; Wirtschaftsingenieurwesen: 5; Accounting, Controlling, Taxation: 2; Data Science and Artificial Intelligence: 3; Digital Business Management: 50; Entrepreneurship: ; Finance: ; General Business Management: 13; Marketing: 8; Master of Business Administration: ; Media and Data-driven Business: 12; Personalmanagement und Wirtschaftspsychologie: 16; Rechnungswesen Steuern Wirtschaftsrecht: ; Sales and Negotiation: ; Supply Chain Management, Logistics, Production: 6; Wirtschaftsinformatik: 311; Fachübergreifende Kompetenzen: 94; Wissenschaftliche Weiterbildung: }</v>
      </c>
      <c r="R29" t="str" cm="1">
        <f t="array" ref="R29">"{"&amp;_xlfn.TEXTJOIN("; ",TRUE,Lehrverflechtung!C$1:AF$1&amp;": "&amp;Lehrverflechtung!C29:AF29)&amp;"}"</f>
        <v>{Advanced Practice in Healthcare: ; Intensive Care: ; Digitalisierung in der Sozialen Arbeit: 5; Governance Sozialer Arbeit: ; Planung und Koordination in der Sozialen Arbeit: ; Soziale Arbeit in der Migrationsgesellschaft: ; Transkulturelle Traumapädagogik: ; Bauingenieurwesen: ; Elektrotechnik und Informationstechnik: ; Executive Engineering: ; Informatik: 136; Integrated Engineering: 18; Maschinenbau: ; Wirtschaftsingenieurwesen: 43; Accounting, Controlling, Taxation: 3; Data Science and Artificial Intelligence: 14; Digital Business Management: 23; Entrepreneurship: ; Finance: ; General Business Management: 22; Marketing: ; Master of Business Administration: ; Media and Data-driven Business: 5; Personalmanagement und Wirtschaftspsychologie: 1; Rechnungswesen Steuern Wirtschaftsrecht: ; Sales and Negotiation: 5; Supply Chain Management, Logistics, Production: 1; Wirtschaftsinformatik: 311; Fachübergreifende Kompetenzen: ; Wissenschaftliche Weiterbildung: 57}</v>
      </c>
      <c r="S29" s="6">
        <v>14</v>
      </c>
    </row>
    <row r="30" spans="1:19" s="11" customFormat="1" x14ac:dyDescent="0.25">
      <c r="A30" s="11" t="s">
        <v>67</v>
      </c>
      <c r="B30" s="11" t="s">
        <v>16</v>
      </c>
      <c r="C30" s="11">
        <v>0</v>
      </c>
      <c r="D30" s="11">
        <v>0</v>
      </c>
      <c r="E30" s="11">
        <v>0</v>
      </c>
      <c r="F30" s="11">
        <v>0</v>
      </c>
      <c r="G30" s="11">
        <v>125</v>
      </c>
      <c r="H30" s="11">
        <v>25</v>
      </c>
      <c r="I30" s="11">
        <v>9</v>
      </c>
      <c r="J30" s="11">
        <v>6</v>
      </c>
      <c r="S30" s="12"/>
    </row>
    <row r="32" spans="1:19" x14ac:dyDescent="0.25">
      <c r="P32" s="8"/>
      <c r="Q32" s="8"/>
    </row>
    <row r="34" spans="17:17" x14ac:dyDescent="0.25">
      <c r="Q34" s="8"/>
    </row>
    <row r="50" spans="17:17" x14ac:dyDescent="0.25">
      <c r="Q5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935D-D43F-46CA-AD04-9A76D203B454}">
  <dimension ref="A1:F29"/>
  <sheetViews>
    <sheetView zoomScale="85" zoomScaleNormal="85" workbookViewId="0">
      <selection activeCell="A29" sqref="A29:XFD29"/>
    </sheetView>
  </sheetViews>
  <sheetFormatPr baseColWidth="10" defaultRowHeight="15" x14ac:dyDescent="0.25"/>
  <cols>
    <col min="1" max="1" width="42.5703125" customWidth="1"/>
    <col min="2" max="6" width="13" customWidth="1"/>
  </cols>
  <sheetData>
    <row r="1" spans="1:6" s="1" customFormat="1" x14ac:dyDescent="0.25">
      <c r="A1" s="1" t="s">
        <v>0</v>
      </c>
      <c r="B1" s="1" t="s">
        <v>15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3" t="s">
        <v>24</v>
      </c>
      <c r="B2" t="s">
        <v>28</v>
      </c>
      <c r="C2">
        <v>7</v>
      </c>
      <c r="D2">
        <v>6</v>
      </c>
      <c r="E2">
        <v>1</v>
      </c>
      <c r="F2">
        <v>1</v>
      </c>
    </row>
    <row r="3" spans="1:6" x14ac:dyDescent="0.25">
      <c r="A3" s="3" t="s">
        <v>25</v>
      </c>
      <c r="B3" t="s">
        <v>28</v>
      </c>
      <c r="C3">
        <v>7</v>
      </c>
      <c r="D3">
        <v>5</v>
      </c>
      <c r="F3">
        <v>1</v>
      </c>
    </row>
    <row r="4" spans="1:6" x14ac:dyDescent="0.25">
      <c r="A4" s="3" t="s">
        <v>42</v>
      </c>
      <c r="B4" t="s">
        <v>26</v>
      </c>
      <c r="C4">
        <v>3</v>
      </c>
      <c r="D4">
        <v>1</v>
      </c>
    </row>
    <row r="5" spans="1:6" x14ac:dyDescent="0.25">
      <c r="A5" t="s">
        <v>18</v>
      </c>
      <c r="B5" t="s">
        <v>26</v>
      </c>
      <c r="C5">
        <v>3</v>
      </c>
      <c r="D5">
        <v>1</v>
      </c>
      <c r="E5">
        <v>1</v>
      </c>
    </row>
    <row r="6" spans="1:6" x14ac:dyDescent="0.25">
      <c r="A6" t="s">
        <v>43</v>
      </c>
      <c r="B6" t="s">
        <v>26</v>
      </c>
      <c r="C6">
        <v>1</v>
      </c>
      <c r="E6">
        <v>1</v>
      </c>
      <c r="F6">
        <v>1</v>
      </c>
    </row>
    <row r="7" spans="1:6" x14ac:dyDescent="0.25">
      <c r="A7" t="s">
        <v>19</v>
      </c>
      <c r="B7" t="s">
        <v>26</v>
      </c>
      <c r="C7">
        <v>1</v>
      </c>
      <c r="D7">
        <v>1</v>
      </c>
      <c r="E7">
        <v>4</v>
      </c>
    </row>
    <row r="8" spans="1:6" x14ac:dyDescent="0.25">
      <c r="A8" t="s">
        <v>44</v>
      </c>
      <c r="B8" t="s">
        <v>26</v>
      </c>
      <c r="C8">
        <v>6</v>
      </c>
      <c r="D8">
        <v>2</v>
      </c>
      <c r="E8">
        <v>2</v>
      </c>
    </row>
    <row r="9" spans="1:6" x14ac:dyDescent="0.25">
      <c r="A9" t="s">
        <v>45</v>
      </c>
      <c r="B9" t="s">
        <v>27</v>
      </c>
      <c r="C9">
        <v>10</v>
      </c>
      <c r="D9">
        <v>5</v>
      </c>
    </row>
    <row r="10" spans="1:6" x14ac:dyDescent="0.25">
      <c r="A10" t="s">
        <v>46</v>
      </c>
      <c r="B10" t="s">
        <v>27</v>
      </c>
      <c r="C10">
        <v>18</v>
      </c>
      <c r="D10">
        <v>6</v>
      </c>
    </row>
    <row r="11" spans="1:6" x14ac:dyDescent="0.25">
      <c r="A11" t="s">
        <v>47</v>
      </c>
      <c r="B11" t="s">
        <v>27</v>
      </c>
      <c r="C11">
        <v>6</v>
      </c>
    </row>
    <row r="12" spans="1:6" x14ac:dyDescent="0.25">
      <c r="A12" t="s">
        <v>20</v>
      </c>
      <c r="B12" t="s">
        <v>27</v>
      </c>
      <c r="C12">
        <v>30</v>
      </c>
      <c r="D12">
        <v>5</v>
      </c>
      <c r="E12">
        <v>2</v>
      </c>
      <c r="F12">
        <v>2</v>
      </c>
    </row>
    <row r="13" spans="1:6" x14ac:dyDescent="0.25">
      <c r="A13" t="s">
        <v>21</v>
      </c>
      <c r="B13" t="s">
        <v>27</v>
      </c>
      <c r="C13">
        <v>18</v>
      </c>
      <c r="D13">
        <v>4</v>
      </c>
    </row>
    <row r="14" spans="1:6" x14ac:dyDescent="0.25">
      <c r="A14" t="s">
        <v>48</v>
      </c>
      <c r="B14" t="s">
        <v>27</v>
      </c>
      <c r="C14">
        <v>14</v>
      </c>
      <c r="D14">
        <v>3</v>
      </c>
    </row>
    <row r="15" spans="1:6" x14ac:dyDescent="0.25">
      <c r="A15" t="s">
        <v>49</v>
      </c>
      <c r="B15" t="s">
        <v>27</v>
      </c>
      <c r="C15">
        <v>32</v>
      </c>
      <c r="D15">
        <v>9</v>
      </c>
      <c r="E15">
        <v>2</v>
      </c>
    </row>
    <row r="16" spans="1:6" x14ac:dyDescent="0.25">
      <c r="A16" t="s">
        <v>22</v>
      </c>
      <c r="B16" t="s">
        <v>16</v>
      </c>
      <c r="C16">
        <v>10</v>
      </c>
      <c r="D16">
        <v>8</v>
      </c>
      <c r="E16">
        <v>1</v>
      </c>
    </row>
    <row r="17" spans="1:6" x14ac:dyDescent="0.25">
      <c r="A17" t="s">
        <v>50</v>
      </c>
      <c r="B17" t="s">
        <v>16</v>
      </c>
      <c r="C17">
        <v>6</v>
      </c>
      <c r="D17">
        <v>1</v>
      </c>
      <c r="F17">
        <v>1</v>
      </c>
    </row>
    <row r="18" spans="1:6" x14ac:dyDescent="0.25">
      <c r="A18" t="s">
        <v>23</v>
      </c>
      <c r="B18" t="s">
        <v>16</v>
      </c>
      <c r="C18">
        <v>8</v>
      </c>
      <c r="D18">
        <v>1</v>
      </c>
    </row>
    <row r="19" spans="1:6" x14ac:dyDescent="0.25">
      <c r="A19" t="s">
        <v>51</v>
      </c>
      <c r="B19" t="s">
        <v>16</v>
      </c>
      <c r="C19">
        <v>4</v>
      </c>
      <c r="D19">
        <v>1</v>
      </c>
    </row>
    <row r="20" spans="1:6" x14ac:dyDescent="0.25">
      <c r="A20" t="s">
        <v>52</v>
      </c>
      <c r="B20" t="s">
        <v>16</v>
      </c>
      <c r="C20">
        <v>12</v>
      </c>
      <c r="D20">
        <v>2</v>
      </c>
    </row>
    <row r="21" spans="1:6" x14ac:dyDescent="0.25">
      <c r="A21" t="s">
        <v>53</v>
      </c>
      <c r="B21" t="s">
        <v>16</v>
      </c>
      <c r="C21">
        <v>39</v>
      </c>
      <c r="D21">
        <v>4</v>
      </c>
      <c r="E21">
        <v>1</v>
      </c>
      <c r="F21">
        <v>1</v>
      </c>
    </row>
    <row r="22" spans="1:6" x14ac:dyDescent="0.25">
      <c r="A22" t="s">
        <v>54</v>
      </c>
      <c r="B22" t="s">
        <v>16</v>
      </c>
      <c r="C22">
        <v>2</v>
      </c>
      <c r="D22">
        <v>2</v>
      </c>
      <c r="E22">
        <v>1</v>
      </c>
    </row>
    <row r="23" spans="1:6" x14ac:dyDescent="0.25">
      <c r="A23" t="s">
        <v>55</v>
      </c>
      <c r="B23" t="s">
        <v>16</v>
      </c>
      <c r="C23">
        <v>4</v>
      </c>
      <c r="D23">
        <v>4</v>
      </c>
      <c r="E23">
        <v>6</v>
      </c>
    </row>
    <row r="24" spans="1:6" x14ac:dyDescent="0.25">
      <c r="A24" t="s">
        <v>56</v>
      </c>
      <c r="B24" t="s">
        <v>16</v>
      </c>
      <c r="C24">
        <v>3</v>
      </c>
    </row>
    <row r="25" spans="1:6" x14ac:dyDescent="0.25">
      <c r="A25" t="s">
        <v>57</v>
      </c>
      <c r="B25" t="s">
        <v>16</v>
      </c>
      <c r="C25">
        <v>14</v>
      </c>
      <c r="D25">
        <v>5</v>
      </c>
      <c r="E25">
        <v>1</v>
      </c>
      <c r="F25">
        <v>2</v>
      </c>
    </row>
    <row r="26" spans="1:6" x14ac:dyDescent="0.25">
      <c r="A26" t="s">
        <v>58</v>
      </c>
      <c r="B26" t="s">
        <v>16</v>
      </c>
      <c r="C26">
        <v>32</v>
      </c>
      <c r="D26">
        <v>8</v>
      </c>
      <c r="E26">
        <v>2</v>
      </c>
      <c r="F26">
        <v>1</v>
      </c>
    </row>
    <row r="27" spans="1:6" x14ac:dyDescent="0.25">
      <c r="A27" t="s">
        <v>59</v>
      </c>
      <c r="B27" t="s">
        <v>16</v>
      </c>
      <c r="C27">
        <v>5</v>
      </c>
      <c r="D27">
        <v>1</v>
      </c>
      <c r="E27">
        <v>1</v>
      </c>
    </row>
    <row r="28" spans="1:6" x14ac:dyDescent="0.25">
      <c r="A28" t="s">
        <v>60</v>
      </c>
      <c r="B28" t="s">
        <v>16</v>
      </c>
      <c r="C28">
        <v>6</v>
      </c>
      <c r="D28">
        <v>3</v>
      </c>
    </row>
    <row r="29" spans="1:6" x14ac:dyDescent="0.25">
      <c r="A29" t="s">
        <v>61</v>
      </c>
      <c r="B29" t="s">
        <v>16</v>
      </c>
      <c r="C29">
        <v>22</v>
      </c>
      <c r="D29">
        <v>3</v>
      </c>
      <c r="E29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0495-EC4A-40AB-8C96-966BFB0E34DD}">
  <dimension ref="A1:J30"/>
  <sheetViews>
    <sheetView zoomScale="85" zoomScaleNormal="85" workbookViewId="0">
      <selection activeCell="C28" sqref="C28"/>
    </sheetView>
  </sheetViews>
  <sheetFormatPr baseColWidth="10" defaultColWidth="13.85546875" defaultRowHeight="15" x14ac:dyDescent="0.25"/>
  <cols>
    <col min="1" max="1" width="42.42578125" bestFit="1" customWidth="1"/>
    <col min="4" max="4" width="18.85546875" customWidth="1"/>
  </cols>
  <sheetData>
    <row r="1" spans="1:10" s="1" customFormat="1" x14ac:dyDescent="0.25">
      <c r="A1" s="1" t="s">
        <v>0</v>
      </c>
      <c r="B1" s="1" t="s">
        <v>15</v>
      </c>
      <c r="C1" s="7" t="s">
        <v>30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5">
      <c r="A2" s="3" t="s">
        <v>24</v>
      </c>
      <c r="B2" t="s">
        <v>28</v>
      </c>
      <c r="C2" s="3">
        <v>978</v>
      </c>
      <c r="D2">
        <v>306</v>
      </c>
      <c r="F2">
        <v>108</v>
      </c>
      <c r="G2">
        <v>148</v>
      </c>
      <c r="I2">
        <v>48</v>
      </c>
      <c r="J2">
        <v>16</v>
      </c>
    </row>
    <row r="3" spans="1:10" x14ac:dyDescent="0.25">
      <c r="A3" s="3" t="s">
        <v>25</v>
      </c>
      <c r="B3" t="s">
        <v>28</v>
      </c>
      <c r="C3" s="3">
        <v>132</v>
      </c>
      <c r="D3">
        <v>52</v>
      </c>
      <c r="E3">
        <v>16</v>
      </c>
      <c r="F3">
        <v>92</v>
      </c>
      <c r="G3">
        <v>316</v>
      </c>
      <c r="J3">
        <v>16</v>
      </c>
    </row>
    <row r="4" spans="1:10" x14ac:dyDescent="0.25">
      <c r="A4" s="3" t="s">
        <v>42</v>
      </c>
      <c r="B4" t="s">
        <v>26</v>
      </c>
      <c r="C4" s="3">
        <v>404</v>
      </c>
      <c r="D4">
        <v>162</v>
      </c>
      <c r="F4">
        <v>144</v>
      </c>
      <c r="G4">
        <v>80</v>
      </c>
    </row>
    <row r="5" spans="1:10" x14ac:dyDescent="0.25">
      <c r="A5" t="s">
        <v>18</v>
      </c>
      <c r="B5" t="s">
        <v>26</v>
      </c>
      <c r="C5">
        <v>638</v>
      </c>
      <c r="D5">
        <v>36</v>
      </c>
      <c r="F5">
        <v>378</v>
      </c>
      <c r="H5">
        <v>16</v>
      </c>
      <c r="I5">
        <v>48</v>
      </c>
      <c r="J5">
        <v>64</v>
      </c>
    </row>
    <row r="6" spans="1:10" x14ac:dyDescent="0.25">
      <c r="A6" t="s">
        <v>43</v>
      </c>
      <c r="B6" t="s">
        <v>26</v>
      </c>
      <c r="C6">
        <v>360</v>
      </c>
      <c r="E6">
        <v>32</v>
      </c>
      <c r="F6">
        <v>80</v>
      </c>
      <c r="G6">
        <v>63</v>
      </c>
      <c r="J6">
        <v>32</v>
      </c>
    </row>
    <row r="7" spans="1:10" x14ac:dyDescent="0.25">
      <c r="A7" t="s">
        <v>19</v>
      </c>
      <c r="B7" t="s">
        <v>26</v>
      </c>
      <c r="C7">
        <v>336</v>
      </c>
      <c r="D7">
        <v>64</v>
      </c>
      <c r="F7">
        <v>32</v>
      </c>
      <c r="G7">
        <v>16</v>
      </c>
      <c r="H7">
        <v>80</v>
      </c>
      <c r="I7">
        <v>32</v>
      </c>
      <c r="J7">
        <v>48</v>
      </c>
    </row>
    <row r="8" spans="1:10" x14ac:dyDescent="0.25">
      <c r="A8" t="s">
        <v>44</v>
      </c>
      <c r="B8" t="s">
        <v>26</v>
      </c>
      <c r="C8">
        <v>224</v>
      </c>
      <c r="D8">
        <v>80</v>
      </c>
      <c r="E8">
        <v>56</v>
      </c>
      <c r="F8">
        <v>86</v>
      </c>
      <c r="I8">
        <v>124</v>
      </c>
    </row>
    <row r="9" spans="1:10" x14ac:dyDescent="0.25">
      <c r="A9" t="s">
        <v>45</v>
      </c>
      <c r="B9" t="s">
        <v>27</v>
      </c>
      <c r="C9">
        <v>516</v>
      </c>
      <c r="D9">
        <v>16</v>
      </c>
      <c r="E9">
        <v>32</v>
      </c>
      <c r="F9">
        <v>96</v>
      </c>
      <c r="G9">
        <v>136</v>
      </c>
      <c r="J9">
        <v>428</v>
      </c>
    </row>
    <row r="10" spans="1:10" x14ac:dyDescent="0.25">
      <c r="A10" t="s">
        <v>46</v>
      </c>
      <c r="B10" t="s">
        <v>27</v>
      </c>
      <c r="C10">
        <v>1158</v>
      </c>
      <c r="D10">
        <v>72</v>
      </c>
      <c r="E10">
        <v>32</v>
      </c>
      <c r="F10">
        <v>60</v>
      </c>
      <c r="J10">
        <v>26</v>
      </c>
    </row>
    <row r="11" spans="1:10" x14ac:dyDescent="0.25">
      <c r="A11" t="s">
        <v>47</v>
      </c>
      <c r="B11" t="s">
        <v>27</v>
      </c>
      <c r="C11">
        <v>396</v>
      </c>
      <c r="D11">
        <v>50</v>
      </c>
      <c r="E11">
        <v>56</v>
      </c>
      <c r="F11">
        <v>70</v>
      </c>
      <c r="G11">
        <v>2</v>
      </c>
      <c r="I11">
        <v>8</v>
      </c>
      <c r="J11">
        <v>114</v>
      </c>
    </row>
    <row r="12" spans="1:10" x14ac:dyDescent="0.25">
      <c r="A12" t="s">
        <v>20</v>
      </c>
      <c r="B12" t="s">
        <v>27</v>
      </c>
      <c r="C12">
        <v>1560</v>
      </c>
      <c r="D12">
        <v>16</v>
      </c>
      <c r="E12">
        <v>128</v>
      </c>
      <c r="F12">
        <v>96</v>
      </c>
      <c r="J12">
        <v>24</v>
      </c>
    </row>
    <row r="13" spans="1:10" x14ac:dyDescent="0.25">
      <c r="A13" t="s">
        <v>21</v>
      </c>
      <c r="B13" t="s">
        <v>27</v>
      </c>
      <c r="C13">
        <v>1032</v>
      </c>
      <c r="D13">
        <v>72</v>
      </c>
      <c r="E13">
        <v>64</v>
      </c>
      <c r="F13">
        <v>160</v>
      </c>
    </row>
    <row r="14" spans="1:10" x14ac:dyDescent="0.25">
      <c r="A14" t="s">
        <v>48</v>
      </c>
      <c r="B14" t="s">
        <v>27</v>
      </c>
      <c r="C14">
        <v>1634</v>
      </c>
      <c r="D14">
        <v>74</v>
      </c>
      <c r="E14">
        <v>64</v>
      </c>
      <c r="J14">
        <v>326</v>
      </c>
    </row>
    <row r="15" spans="1:10" x14ac:dyDescent="0.25">
      <c r="A15" t="s">
        <v>49</v>
      </c>
      <c r="B15" t="s">
        <v>27</v>
      </c>
      <c r="C15">
        <v>2436</v>
      </c>
      <c r="D15">
        <v>128</v>
      </c>
      <c r="E15">
        <v>12</v>
      </c>
      <c r="F15">
        <v>274</v>
      </c>
      <c r="J15">
        <v>362</v>
      </c>
    </row>
    <row r="16" spans="1:10" x14ac:dyDescent="0.25">
      <c r="A16" t="s">
        <v>22</v>
      </c>
      <c r="B16" t="s">
        <v>16</v>
      </c>
      <c r="C16">
        <v>1236</v>
      </c>
      <c r="D16">
        <v>32</v>
      </c>
      <c r="H16">
        <v>48</v>
      </c>
      <c r="J16">
        <v>64</v>
      </c>
    </row>
    <row r="17" spans="1:10" x14ac:dyDescent="0.25">
      <c r="A17" t="s">
        <v>50</v>
      </c>
      <c r="B17" t="s">
        <v>16</v>
      </c>
    </row>
    <row r="18" spans="1:10" x14ac:dyDescent="0.25">
      <c r="A18" t="s">
        <v>23</v>
      </c>
      <c r="B18" t="s">
        <v>16</v>
      </c>
      <c r="C18">
        <v>1225</v>
      </c>
      <c r="D18">
        <v>48</v>
      </c>
      <c r="J18">
        <v>16</v>
      </c>
    </row>
    <row r="19" spans="1:10" x14ac:dyDescent="0.25">
      <c r="A19" t="s">
        <v>51</v>
      </c>
      <c r="B19" t="s">
        <v>16</v>
      </c>
      <c r="C19">
        <v>488</v>
      </c>
      <c r="F19">
        <v>20</v>
      </c>
    </row>
    <row r="20" spans="1:10" x14ac:dyDescent="0.25">
      <c r="A20" t="s">
        <v>52</v>
      </c>
      <c r="B20" t="s">
        <v>16</v>
      </c>
      <c r="C20">
        <v>728</v>
      </c>
      <c r="D20">
        <v>72</v>
      </c>
      <c r="H20">
        <v>16</v>
      </c>
      <c r="J20">
        <v>136</v>
      </c>
    </row>
    <row r="21" spans="1:10" x14ac:dyDescent="0.25">
      <c r="A21" t="s">
        <v>53</v>
      </c>
      <c r="B21" t="s">
        <v>16</v>
      </c>
      <c r="C21">
        <v>1194</v>
      </c>
      <c r="D21">
        <v>16</v>
      </c>
      <c r="J21">
        <v>112</v>
      </c>
    </row>
    <row r="22" spans="1:10" x14ac:dyDescent="0.25">
      <c r="A22" t="s">
        <v>54</v>
      </c>
      <c r="B22" t="s">
        <v>16</v>
      </c>
      <c r="C22">
        <v>618</v>
      </c>
      <c r="D22">
        <v>24</v>
      </c>
      <c r="J22">
        <v>16</v>
      </c>
    </row>
    <row r="23" spans="1:10" x14ac:dyDescent="0.25">
      <c r="A23" t="s">
        <v>55</v>
      </c>
      <c r="B23" t="s">
        <v>16</v>
      </c>
      <c r="C23">
        <v>1144</v>
      </c>
      <c r="F23">
        <v>32</v>
      </c>
    </row>
    <row r="24" spans="1:10" x14ac:dyDescent="0.25">
      <c r="A24" t="s">
        <v>56</v>
      </c>
      <c r="B24" t="s">
        <v>16</v>
      </c>
      <c r="C24">
        <v>749</v>
      </c>
      <c r="D24">
        <v>133</v>
      </c>
      <c r="J24">
        <v>8</v>
      </c>
    </row>
    <row r="25" spans="1:10" x14ac:dyDescent="0.25">
      <c r="A25" t="s">
        <v>57</v>
      </c>
      <c r="B25" t="s">
        <v>16</v>
      </c>
      <c r="C25">
        <v>1888</v>
      </c>
      <c r="F25">
        <v>24</v>
      </c>
      <c r="J25">
        <v>32</v>
      </c>
    </row>
    <row r="26" spans="1:10" x14ac:dyDescent="0.25">
      <c r="A26" t="s">
        <v>58</v>
      </c>
      <c r="B26" t="s">
        <v>16</v>
      </c>
      <c r="C26">
        <v>1298</v>
      </c>
      <c r="D26">
        <v>140</v>
      </c>
      <c r="G26">
        <v>60</v>
      </c>
      <c r="H26">
        <v>412</v>
      </c>
      <c r="J26">
        <v>132</v>
      </c>
    </row>
    <row r="27" spans="1:10" x14ac:dyDescent="0.25">
      <c r="A27" t="s">
        <v>59</v>
      </c>
      <c r="B27" t="s">
        <v>16</v>
      </c>
      <c r="C27">
        <v>392</v>
      </c>
      <c r="D27">
        <v>64</v>
      </c>
      <c r="E27">
        <v>32</v>
      </c>
    </row>
    <row r="28" spans="1:10" x14ac:dyDescent="0.25">
      <c r="A28" t="s">
        <v>60</v>
      </c>
      <c r="B28" t="s">
        <v>16</v>
      </c>
      <c r="C28">
        <v>614</v>
      </c>
      <c r="H28">
        <v>16</v>
      </c>
    </row>
    <row r="29" spans="1:10" x14ac:dyDescent="0.25">
      <c r="A29" t="s">
        <v>61</v>
      </c>
      <c r="B29" t="s">
        <v>16</v>
      </c>
      <c r="C29">
        <v>2787</v>
      </c>
      <c r="E29">
        <v>90</v>
      </c>
      <c r="F29">
        <v>36</v>
      </c>
      <c r="J29">
        <v>13</v>
      </c>
    </row>
    <row r="30" spans="1:10" x14ac:dyDescent="0.25">
      <c r="A30" s="3" t="s">
        <v>41</v>
      </c>
      <c r="B30" s="3" t="s">
        <v>41</v>
      </c>
      <c r="C30" s="3">
        <v>716</v>
      </c>
      <c r="D30">
        <v>160</v>
      </c>
      <c r="E30">
        <v>224</v>
      </c>
      <c r="F30">
        <v>1696</v>
      </c>
    </row>
  </sheetData>
  <sortState xmlns:xlrd2="http://schemas.microsoft.com/office/spreadsheetml/2017/richdata2" ref="A2:J29">
    <sortCondition ref="B2:B29"/>
    <sortCondition ref="A2:A29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4AF6-989C-4DF0-9E12-C30C1D719AA4}">
  <dimension ref="A1:AF31"/>
  <sheetViews>
    <sheetView zoomScale="85" zoomScaleNormal="85" workbookViewId="0">
      <selection activeCell="AF29" sqref="AF29"/>
    </sheetView>
  </sheetViews>
  <sheetFormatPr baseColWidth="10" defaultRowHeight="15" x14ac:dyDescent="0.25"/>
  <cols>
    <col min="1" max="1" width="15.5703125" customWidth="1"/>
    <col min="2" max="2" width="41.5703125" customWidth="1"/>
    <col min="3" max="34" width="10.42578125" customWidth="1"/>
  </cols>
  <sheetData>
    <row r="1" spans="1:32" s="1" customFormat="1" x14ac:dyDescent="0.25">
      <c r="A1" s="1" t="s">
        <v>15</v>
      </c>
      <c r="B1" s="1" t="s">
        <v>0</v>
      </c>
      <c r="C1" s="7" t="s">
        <v>24</v>
      </c>
      <c r="D1" s="1" t="s">
        <v>25</v>
      </c>
      <c r="E1" s="1" t="s">
        <v>42</v>
      </c>
      <c r="F1" s="1" t="s">
        <v>18</v>
      </c>
      <c r="G1" s="1" t="s">
        <v>43</v>
      </c>
      <c r="H1" s="1" t="s">
        <v>19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20</v>
      </c>
      <c r="N1" s="1" t="s">
        <v>21</v>
      </c>
      <c r="O1" s="1" t="s">
        <v>48</v>
      </c>
      <c r="P1" s="1" t="s">
        <v>49</v>
      </c>
      <c r="Q1" s="1" t="s">
        <v>22</v>
      </c>
      <c r="R1" s="1" t="s">
        <v>50</v>
      </c>
      <c r="S1" s="1" t="s">
        <v>23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41</v>
      </c>
      <c r="AF1" s="1" t="s">
        <v>62</v>
      </c>
    </row>
    <row r="2" spans="1:32" x14ac:dyDescent="0.25">
      <c r="A2" s="3" t="s">
        <v>28</v>
      </c>
      <c r="B2" s="3" t="s">
        <v>24</v>
      </c>
      <c r="C2" s="3">
        <v>280</v>
      </c>
      <c r="F2">
        <v>1</v>
      </c>
      <c r="AF2">
        <v>62</v>
      </c>
    </row>
    <row r="3" spans="1:32" x14ac:dyDescent="0.25">
      <c r="A3" s="3" t="s">
        <v>28</v>
      </c>
      <c r="B3" s="3" t="s">
        <v>25</v>
      </c>
      <c r="C3" s="3"/>
      <c r="D3">
        <v>96</v>
      </c>
      <c r="AF3">
        <v>4</v>
      </c>
    </row>
    <row r="4" spans="1:32" x14ac:dyDescent="0.25">
      <c r="A4" s="3" t="s">
        <v>26</v>
      </c>
      <c r="B4" s="3" t="s">
        <v>42</v>
      </c>
      <c r="C4" s="3"/>
      <c r="E4">
        <v>121</v>
      </c>
      <c r="F4">
        <v>4</v>
      </c>
      <c r="G4">
        <v>5</v>
      </c>
      <c r="H4">
        <v>1</v>
      </c>
      <c r="I4">
        <v>1</v>
      </c>
      <c r="AF4">
        <v>17</v>
      </c>
    </row>
    <row r="5" spans="1:32" x14ac:dyDescent="0.25">
      <c r="A5" s="3" t="s">
        <v>26</v>
      </c>
      <c r="B5" t="s">
        <v>18</v>
      </c>
      <c r="E5">
        <v>5</v>
      </c>
      <c r="F5">
        <v>101</v>
      </c>
      <c r="G5">
        <v>18</v>
      </c>
      <c r="H5">
        <v>1</v>
      </c>
      <c r="I5">
        <v>1</v>
      </c>
    </row>
    <row r="6" spans="1:32" x14ac:dyDescent="0.25">
      <c r="A6" s="3" t="s">
        <v>26</v>
      </c>
      <c r="B6" t="s">
        <v>43</v>
      </c>
      <c r="E6">
        <v>8</v>
      </c>
      <c r="F6">
        <v>9</v>
      </c>
      <c r="G6">
        <v>88</v>
      </c>
      <c r="H6">
        <v>2</v>
      </c>
      <c r="AF6">
        <v>13</v>
      </c>
    </row>
    <row r="7" spans="1:32" x14ac:dyDescent="0.25">
      <c r="A7" s="3" t="s">
        <v>26</v>
      </c>
      <c r="B7" t="s">
        <v>19</v>
      </c>
      <c r="E7">
        <v>2</v>
      </c>
      <c r="F7">
        <v>5</v>
      </c>
      <c r="G7">
        <v>9</v>
      </c>
      <c r="H7">
        <v>80</v>
      </c>
      <c r="I7">
        <v>4</v>
      </c>
      <c r="AF7">
        <v>36</v>
      </c>
    </row>
    <row r="8" spans="1:32" x14ac:dyDescent="0.25">
      <c r="A8" s="3" t="s">
        <v>26</v>
      </c>
      <c r="B8" t="s">
        <v>44</v>
      </c>
      <c r="E8">
        <v>1</v>
      </c>
      <c r="F8">
        <v>7</v>
      </c>
      <c r="G8">
        <v>10</v>
      </c>
      <c r="H8">
        <v>16</v>
      </c>
      <c r="I8">
        <v>94</v>
      </c>
      <c r="AF8">
        <v>41</v>
      </c>
    </row>
    <row r="9" spans="1:32" x14ac:dyDescent="0.25">
      <c r="A9" t="s">
        <v>27</v>
      </c>
      <c r="B9" t="s">
        <v>45</v>
      </c>
      <c r="J9">
        <v>205</v>
      </c>
      <c r="K9">
        <v>1</v>
      </c>
      <c r="M9">
        <v>1</v>
      </c>
      <c r="N9">
        <v>4</v>
      </c>
      <c r="P9">
        <v>39</v>
      </c>
      <c r="AF9">
        <v>26</v>
      </c>
    </row>
    <row r="10" spans="1:32" x14ac:dyDescent="0.25">
      <c r="A10" t="s">
        <v>27</v>
      </c>
      <c r="B10" t="s">
        <v>46</v>
      </c>
      <c r="J10">
        <v>1</v>
      </c>
      <c r="K10">
        <v>167</v>
      </c>
      <c r="M10">
        <v>2</v>
      </c>
      <c r="N10">
        <v>36</v>
      </c>
      <c r="O10">
        <v>5</v>
      </c>
      <c r="P10">
        <v>19</v>
      </c>
      <c r="U10">
        <v>1</v>
      </c>
      <c r="V10">
        <v>1</v>
      </c>
      <c r="AF10">
        <v>21</v>
      </c>
    </row>
    <row r="11" spans="1:32" x14ac:dyDescent="0.25">
      <c r="A11" t="s">
        <v>27</v>
      </c>
      <c r="B11" t="s">
        <v>47</v>
      </c>
      <c r="L11">
        <v>105</v>
      </c>
    </row>
    <row r="12" spans="1:32" x14ac:dyDescent="0.25">
      <c r="A12" t="s">
        <v>27</v>
      </c>
      <c r="B12" t="s">
        <v>20</v>
      </c>
      <c r="K12">
        <v>56</v>
      </c>
      <c r="L12">
        <v>2</v>
      </c>
      <c r="M12">
        <v>369</v>
      </c>
      <c r="N12">
        <v>23</v>
      </c>
      <c r="O12">
        <v>13</v>
      </c>
      <c r="P12">
        <v>28</v>
      </c>
      <c r="R12">
        <v>5</v>
      </c>
      <c r="S12">
        <v>2</v>
      </c>
      <c r="Y12">
        <v>2</v>
      </c>
      <c r="AD12">
        <v>89</v>
      </c>
      <c r="AF12">
        <v>61</v>
      </c>
    </row>
    <row r="13" spans="1:32" x14ac:dyDescent="0.25">
      <c r="A13" t="s">
        <v>27</v>
      </c>
      <c r="B13" t="s">
        <v>21</v>
      </c>
      <c r="J13">
        <v>1</v>
      </c>
      <c r="K13">
        <v>31</v>
      </c>
      <c r="M13">
        <v>12</v>
      </c>
      <c r="N13">
        <v>103</v>
      </c>
      <c r="O13">
        <v>3</v>
      </c>
      <c r="P13">
        <v>29</v>
      </c>
      <c r="V13">
        <v>1</v>
      </c>
      <c r="AD13">
        <v>3</v>
      </c>
      <c r="AF13">
        <v>41</v>
      </c>
    </row>
    <row r="14" spans="1:32" x14ac:dyDescent="0.25">
      <c r="A14" t="s">
        <v>27</v>
      </c>
      <c r="B14" t="s">
        <v>48</v>
      </c>
      <c r="J14">
        <v>2</v>
      </c>
      <c r="K14">
        <v>38</v>
      </c>
      <c r="L14">
        <v>3</v>
      </c>
      <c r="M14">
        <v>1</v>
      </c>
      <c r="N14">
        <v>86</v>
      </c>
      <c r="O14">
        <v>294</v>
      </c>
      <c r="P14">
        <v>132</v>
      </c>
      <c r="S14">
        <v>1</v>
      </c>
      <c r="AF14">
        <v>34</v>
      </c>
    </row>
    <row r="15" spans="1:32" x14ac:dyDescent="0.25">
      <c r="A15" t="s">
        <v>27</v>
      </c>
      <c r="B15" t="s">
        <v>49</v>
      </c>
      <c r="J15">
        <v>30</v>
      </c>
      <c r="K15">
        <v>33</v>
      </c>
      <c r="L15">
        <v>21</v>
      </c>
      <c r="M15">
        <v>42</v>
      </c>
      <c r="N15">
        <v>160</v>
      </c>
      <c r="O15">
        <v>78</v>
      </c>
      <c r="P15">
        <v>421</v>
      </c>
      <c r="R15">
        <v>1</v>
      </c>
      <c r="S15">
        <v>4</v>
      </c>
      <c r="U15">
        <v>4</v>
      </c>
      <c r="V15">
        <v>12</v>
      </c>
      <c r="Z15">
        <v>6</v>
      </c>
      <c r="AC15">
        <v>12</v>
      </c>
      <c r="AD15">
        <v>5</v>
      </c>
      <c r="AF15">
        <v>63</v>
      </c>
    </row>
    <row r="16" spans="1:32" x14ac:dyDescent="0.25">
      <c r="A16" t="s">
        <v>16</v>
      </c>
      <c r="B16" t="s">
        <v>22</v>
      </c>
      <c r="N16">
        <v>1</v>
      </c>
      <c r="P16">
        <v>16</v>
      </c>
      <c r="Q16">
        <v>185</v>
      </c>
      <c r="S16">
        <v>1</v>
      </c>
      <c r="U16">
        <v>16</v>
      </c>
      <c r="V16">
        <v>41</v>
      </c>
      <c r="X16">
        <v>3</v>
      </c>
      <c r="Y16">
        <v>1</v>
      </c>
      <c r="AC16">
        <v>12</v>
      </c>
      <c r="AD16">
        <v>2</v>
      </c>
      <c r="AF16">
        <v>29</v>
      </c>
    </row>
    <row r="17" spans="1:32" x14ac:dyDescent="0.25">
      <c r="A17" t="s">
        <v>16</v>
      </c>
      <c r="B17" t="s">
        <v>50</v>
      </c>
      <c r="K17">
        <v>1</v>
      </c>
      <c r="M17">
        <v>11</v>
      </c>
      <c r="R17">
        <v>58</v>
      </c>
      <c r="AD17">
        <v>3</v>
      </c>
      <c r="AF17">
        <v>11</v>
      </c>
    </row>
    <row r="18" spans="1:32" x14ac:dyDescent="0.25">
      <c r="A18" t="s">
        <v>16</v>
      </c>
      <c r="B18" t="s">
        <v>23</v>
      </c>
      <c r="E18">
        <v>1</v>
      </c>
      <c r="N18">
        <v>7</v>
      </c>
      <c r="P18">
        <v>6</v>
      </c>
      <c r="Q18">
        <v>3</v>
      </c>
      <c r="R18">
        <v>1</v>
      </c>
      <c r="S18">
        <v>111</v>
      </c>
      <c r="U18">
        <v>1</v>
      </c>
      <c r="V18">
        <v>35</v>
      </c>
      <c r="W18">
        <v>10</v>
      </c>
      <c r="X18">
        <v>5</v>
      </c>
      <c r="Y18">
        <v>4</v>
      </c>
      <c r="AB18">
        <v>7</v>
      </c>
      <c r="AC18">
        <v>8</v>
      </c>
      <c r="AD18">
        <v>50</v>
      </c>
      <c r="AF18">
        <v>8</v>
      </c>
    </row>
    <row r="19" spans="1:32" x14ac:dyDescent="0.25">
      <c r="A19" t="s">
        <v>16</v>
      </c>
      <c r="B19" t="s">
        <v>51</v>
      </c>
      <c r="L19">
        <v>3</v>
      </c>
      <c r="Q19">
        <v>1</v>
      </c>
      <c r="S19">
        <v>1</v>
      </c>
      <c r="T19">
        <v>45</v>
      </c>
      <c r="U19">
        <v>1</v>
      </c>
      <c r="V19">
        <v>46</v>
      </c>
      <c r="X19">
        <v>1</v>
      </c>
      <c r="AB19">
        <v>3</v>
      </c>
      <c r="AF19">
        <v>22</v>
      </c>
    </row>
    <row r="20" spans="1:32" x14ac:dyDescent="0.25">
      <c r="A20" t="s">
        <v>16</v>
      </c>
      <c r="B20" t="s">
        <v>52</v>
      </c>
      <c r="Q20">
        <v>23</v>
      </c>
      <c r="R20">
        <v>1</v>
      </c>
      <c r="U20">
        <v>103</v>
      </c>
      <c r="V20">
        <v>12</v>
      </c>
      <c r="AF20">
        <v>11</v>
      </c>
    </row>
    <row r="21" spans="1:32" x14ac:dyDescent="0.25">
      <c r="A21" t="s">
        <v>16</v>
      </c>
      <c r="B21" t="s">
        <v>53</v>
      </c>
      <c r="J21">
        <v>1</v>
      </c>
      <c r="N21">
        <v>3</v>
      </c>
      <c r="O21">
        <v>1</v>
      </c>
      <c r="P21">
        <v>8</v>
      </c>
      <c r="Q21">
        <v>32</v>
      </c>
      <c r="S21">
        <v>17</v>
      </c>
      <c r="T21">
        <v>5</v>
      </c>
      <c r="U21">
        <v>45</v>
      </c>
      <c r="V21">
        <v>230</v>
      </c>
      <c r="W21">
        <v>11</v>
      </c>
      <c r="X21">
        <v>12</v>
      </c>
      <c r="Y21">
        <v>1</v>
      </c>
      <c r="Z21">
        <v>8</v>
      </c>
      <c r="AB21">
        <v>28</v>
      </c>
      <c r="AC21">
        <v>17</v>
      </c>
      <c r="AD21">
        <v>13</v>
      </c>
      <c r="AF21">
        <v>29</v>
      </c>
    </row>
    <row r="22" spans="1:32" x14ac:dyDescent="0.25">
      <c r="A22" t="s">
        <v>16</v>
      </c>
      <c r="B22" t="s">
        <v>54</v>
      </c>
      <c r="P22">
        <v>1</v>
      </c>
      <c r="S22">
        <v>4</v>
      </c>
      <c r="T22">
        <v>3</v>
      </c>
      <c r="V22">
        <v>20</v>
      </c>
      <c r="W22">
        <v>47</v>
      </c>
      <c r="X22">
        <v>2</v>
      </c>
      <c r="Y22">
        <v>1</v>
      </c>
      <c r="Z22">
        <v>1</v>
      </c>
      <c r="AB22">
        <v>5</v>
      </c>
      <c r="AC22">
        <v>1</v>
      </c>
      <c r="AD22">
        <v>8</v>
      </c>
      <c r="AF22">
        <v>5</v>
      </c>
    </row>
    <row r="23" spans="1:32" x14ac:dyDescent="0.25">
      <c r="A23" t="s">
        <v>16</v>
      </c>
      <c r="B23" t="s">
        <v>55</v>
      </c>
      <c r="J23">
        <v>1</v>
      </c>
      <c r="N23">
        <v>2</v>
      </c>
      <c r="P23">
        <v>4</v>
      </c>
      <c r="V23">
        <v>1</v>
      </c>
      <c r="X23">
        <v>175</v>
      </c>
      <c r="AF23">
        <v>79</v>
      </c>
    </row>
    <row r="24" spans="1:32" x14ac:dyDescent="0.25">
      <c r="A24" t="s">
        <v>16</v>
      </c>
      <c r="B24" t="s">
        <v>56</v>
      </c>
      <c r="K24">
        <v>1</v>
      </c>
      <c r="L24">
        <v>1</v>
      </c>
      <c r="M24">
        <v>28</v>
      </c>
      <c r="N24">
        <v>4</v>
      </c>
      <c r="P24">
        <v>17</v>
      </c>
      <c r="Q24">
        <v>10</v>
      </c>
      <c r="S24">
        <v>1</v>
      </c>
      <c r="T24">
        <v>1</v>
      </c>
      <c r="U24">
        <v>1</v>
      </c>
      <c r="V24">
        <v>14</v>
      </c>
      <c r="W24">
        <v>1</v>
      </c>
      <c r="X24">
        <v>2</v>
      </c>
      <c r="Y24">
        <v>62</v>
      </c>
      <c r="AB24">
        <v>1</v>
      </c>
      <c r="AC24">
        <v>1</v>
      </c>
      <c r="AD24">
        <v>12</v>
      </c>
      <c r="AF24">
        <v>2</v>
      </c>
    </row>
    <row r="25" spans="1:32" x14ac:dyDescent="0.25">
      <c r="A25" t="s">
        <v>16</v>
      </c>
      <c r="B25" t="s">
        <v>57</v>
      </c>
      <c r="J25">
        <v>2</v>
      </c>
      <c r="K25">
        <v>1</v>
      </c>
      <c r="L25">
        <v>2</v>
      </c>
      <c r="M25">
        <v>3</v>
      </c>
      <c r="N25">
        <v>1</v>
      </c>
      <c r="P25">
        <v>15</v>
      </c>
      <c r="Q25">
        <v>46</v>
      </c>
      <c r="S25">
        <v>4</v>
      </c>
      <c r="U25">
        <v>3</v>
      </c>
      <c r="V25">
        <v>86</v>
      </c>
      <c r="W25">
        <v>8</v>
      </c>
      <c r="X25">
        <v>28</v>
      </c>
      <c r="Y25">
        <v>1</v>
      </c>
      <c r="Z25">
        <v>360</v>
      </c>
      <c r="AB25">
        <v>10</v>
      </c>
      <c r="AC25">
        <v>5</v>
      </c>
      <c r="AD25">
        <v>16</v>
      </c>
      <c r="AF25">
        <v>43</v>
      </c>
    </row>
    <row r="26" spans="1:32" x14ac:dyDescent="0.25">
      <c r="A26" t="s">
        <v>16</v>
      </c>
      <c r="B26" t="s">
        <v>58</v>
      </c>
      <c r="AA26">
        <v>242</v>
      </c>
      <c r="AF26">
        <v>135</v>
      </c>
    </row>
    <row r="27" spans="1:32" x14ac:dyDescent="0.25">
      <c r="A27" t="s">
        <v>16</v>
      </c>
      <c r="B27" t="s">
        <v>59</v>
      </c>
      <c r="K27">
        <v>1</v>
      </c>
      <c r="M27">
        <v>1</v>
      </c>
      <c r="N27">
        <v>3</v>
      </c>
      <c r="P27">
        <v>11</v>
      </c>
      <c r="Q27">
        <v>1</v>
      </c>
      <c r="S27">
        <v>2</v>
      </c>
      <c r="V27">
        <v>47</v>
      </c>
      <c r="W27">
        <v>13</v>
      </c>
      <c r="X27">
        <v>2</v>
      </c>
      <c r="Y27">
        <v>1</v>
      </c>
      <c r="Z27">
        <v>1</v>
      </c>
      <c r="AB27">
        <v>41</v>
      </c>
      <c r="AC27">
        <v>2</v>
      </c>
      <c r="AF27">
        <v>10</v>
      </c>
    </row>
    <row r="28" spans="1:32" x14ac:dyDescent="0.25">
      <c r="A28" t="s">
        <v>16</v>
      </c>
      <c r="B28" t="s">
        <v>60</v>
      </c>
      <c r="P28">
        <v>15</v>
      </c>
      <c r="Q28">
        <v>1</v>
      </c>
      <c r="V28">
        <v>7</v>
      </c>
      <c r="AB28">
        <v>3</v>
      </c>
      <c r="AC28">
        <v>92</v>
      </c>
      <c r="AD28">
        <v>6</v>
      </c>
      <c r="AF28">
        <v>19</v>
      </c>
    </row>
    <row r="29" spans="1:32" x14ac:dyDescent="0.25">
      <c r="A29" t="s">
        <v>16</v>
      </c>
      <c r="B29" t="s">
        <v>61</v>
      </c>
      <c r="E29">
        <v>5</v>
      </c>
      <c r="M29">
        <v>136</v>
      </c>
      <c r="N29">
        <v>18</v>
      </c>
      <c r="P29">
        <v>43</v>
      </c>
      <c r="Q29">
        <v>3</v>
      </c>
      <c r="R29">
        <v>14</v>
      </c>
      <c r="S29">
        <v>23</v>
      </c>
      <c r="V29">
        <v>22</v>
      </c>
      <c r="Y29">
        <v>5</v>
      </c>
      <c r="Z29">
        <v>1</v>
      </c>
      <c r="AB29">
        <v>5</v>
      </c>
      <c r="AC29">
        <v>1</v>
      </c>
      <c r="AD29">
        <v>311</v>
      </c>
      <c r="AF29">
        <v>57</v>
      </c>
    </row>
    <row r="30" spans="1:32" x14ac:dyDescent="0.25">
      <c r="A30" t="s">
        <v>41</v>
      </c>
      <c r="B30" s="3" t="s">
        <v>41</v>
      </c>
      <c r="C30" s="3">
        <v>61</v>
      </c>
      <c r="J30">
        <v>48</v>
      </c>
      <c r="K30">
        <v>68</v>
      </c>
      <c r="L30">
        <v>42</v>
      </c>
      <c r="M30">
        <v>131</v>
      </c>
      <c r="N30">
        <v>80</v>
      </c>
      <c r="O30">
        <v>51</v>
      </c>
      <c r="P30">
        <v>142</v>
      </c>
      <c r="Q30">
        <v>68</v>
      </c>
      <c r="R30">
        <v>10</v>
      </c>
      <c r="S30">
        <v>43</v>
      </c>
      <c r="T30">
        <v>14</v>
      </c>
      <c r="U30">
        <v>42</v>
      </c>
      <c r="V30">
        <v>133</v>
      </c>
      <c r="W30">
        <v>22</v>
      </c>
      <c r="X30">
        <v>40</v>
      </c>
      <c r="Y30">
        <v>25</v>
      </c>
      <c r="Z30">
        <v>83</v>
      </c>
      <c r="AB30">
        <v>22</v>
      </c>
      <c r="AC30">
        <v>33</v>
      </c>
      <c r="AD30">
        <v>94</v>
      </c>
      <c r="AF30">
        <v>1</v>
      </c>
    </row>
    <row r="31" spans="1:32" x14ac:dyDescent="0.25">
      <c r="A31" t="s">
        <v>68</v>
      </c>
      <c r="B31" s="3" t="s">
        <v>62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88A4-8314-4A1B-960A-A97F5DC8AE9D}">
  <dimension ref="A1:B5"/>
  <sheetViews>
    <sheetView workbookViewId="0">
      <selection activeCell="A3" sqref="A3"/>
    </sheetView>
  </sheetViews>
  <sheetFormatPr baseColWidth="10" defaultRowHeight="15" x14ac:dyDescent="0.25"/>
  <cols>
    <col min="1" max="1" width="54" customWidth="1"/>
    <col min="2" max="2" width="105" bestFit="1" customWidth="1"/>
  </cols>
  <sheetData>
    <row r="1" spans="1:2" s="1" customFormat="1" x14ac:dyDescent="0.25">
      <c r="A1" s="1" t="s">
        <v>71</v>
      </c>
      <c r="B1" s="1" t="s">
        <v>72</v>
      </c>
    </row>
    <row r="2" spans="1:2" x14ac:dyDescent="0.25">
      <c r="A2" t="s">
        <v>65</v>
      </c>
      <c r="B2" t="s">
        <v>66</v>
      </c>
    </row>
    <row r="3" spans="1:2" x14ac:dyDescent="0.25">
      <c r="A3" t="s">
        <v>63</v>
      </c>
    </row>
    <row r="4" spans="1:2" x14ac:dyDescent="0.25">
      <c r="A4" t="s">
        <v>64</v>
      </c>
    </row>
    <row r="5" spans="1:2" x14ac:dyDescent="0.25">
      <c r="A5" t="s">
        <v>69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Importtabelle</vt:lpstr>
      <vt:lpstr>Vorstudium</vt:lpstr>
      <vt:lpstr>Doz-Herkunft</vt:lpstr>
      <vt:lpstr>Lehrverflechtung</vt:lpstr>
      <vt:lpstr>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Batke, Nicolai</dc:creator>
  <cp:lastModifiedBy>Backfisch, Martin</cp:lastModifiedBy>
  <dcterms:created xsi:type="dcterms:W3CDTF">2015-06-05T18:19:34Z</dcterms:created>
  <dcterms:modified xsi:type="dcterms:W3CDTF">2026-02-11T14:52:39Z</dcterms:modified>
</cp:coreProperties>
</file>