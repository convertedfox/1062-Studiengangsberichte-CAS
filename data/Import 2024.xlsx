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cas-files.cas.dhbw.de\cas\CAS-Leitung\08_Berichte_Statistiken\Studiengangspräsentation\Dashboard\"/>
    </mc:Choice>
  </mc:AlternateContent>
  <xr:revisionPtr revIDLastSave="0" documentId="8_{418B4C19-3A0B-4811-BF8F-E760A8D9D92A}" xr6:coauthVersionLast="47" xr6:coauthVersionMax="47" xr10:uidLastSave="{00000000-0000-0000-0000-000000000000}"/>
  <bookViews>
    <workbookView xWindow="-120" yWindow="-120" windowWidth="29040" windowHeight="15720" tabRatio="837" xr2:uid="{00000000-000D-0000-FFFF-FFFF00000000}"/>
  </bookViews>
  <sheets>
    <sheet name="Importtabelle" sheetId="1" r:id="rId1"/>
    <sheet name="Vorstudium" sheetId="2" r:id="rId2"/>
    <sheet name="Doz-Herkunft" sheetId="4" r:id="rId3"/>
    <sheet name="Module SG" sheetId="6" r:id="rId4"/>
    <sheet name="Module Herkunft" sheetId="5" r:id="rId5"/>
    <sheet name="Info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2" i="1"/>
  <c r="Q2" i="1"/>
  <c r="Q3" i="1"/>
  <c r="Q4" i="1"/>
  <c r="Q5" i="1"/>
  <c r="Q6" i="1"/>
  <c r="Q7" i="1"/>
  <c r="Q8" i="1"/>
  <c r="Q9" i="1"/>
  <c r="P9" i="1"/>
  <c r="P8" i="1"/>
  <c r="P7" i="1"/>
  <c r="P6" i="1"/>
  <c r="P5" i="1"/>
  <c r="P4" i="1"/>
  <c r="P3" i="1"/>
  <c r="P2" i="1"/>
  <c r="K9" i="1" l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<sst xmlns="http://schemas.openxmlformats.org/spreadsheetml/2006/main" count="137" uniqueCount="44">
  <si>
    <t>Studiengang</t>
  </si>
  <si>
    <t>Studienanfänger -4</t>
  </si>
  <si>
    <t>Studienanfänger -3</t>
  </si>
  <si>
    <t>Studienanfänger -2</t>
  </si>
  <si>
    <t>Studienanfänger -1</t>
  </si>
  <si>
    <t>Immatrikulierte Studierende -4</t>
  </si>
  <si>
    <t>Immatrikulierte Studierende -3</t>
  </si>
  <si>
    <t>Immatrikulierte Studierende -2</t>
  </si>
  <si>
    <t>Immatrikulierte Studierende -1</t>
  </si>
  <si>
    <t>Hochschultyp des Vorstudiums der Studienanfänger [PROFIL]</t>
  </si>
  <si>
    <t>Erfolgsquote der Studierenden</t>
  </si>
  <si>
    <t>Anzahl der fürs Studium benötigten Fachsemester</t>
  </si>
  <si>
    <t>Berufserfahrung der Studienanfänger</t>
  </si>
  <si>
    <t>Alter zum Beginn des Studiums</t>
  </si>
  <si>
    <t>Aus welchem Studiengang kommen die Modulteilnehmer? [Profil]</t>
  </si>
  <si>
    <t>Durchschnittliche Modulauslastung</t>
  </si>
  <si>
    <t>Fachbereich</t>
  </si>
  <si>
    <t>Wirtschaft</t>
  </si>
  <si>
    <t>Herkunft Dozent (Anteil an Lehrveranstaltungsstunden) [Profil]</t>
  </si>
  <si>
    <t>Anzahl Module</t>
  </si>
  <si>
    <t>Governance Sozialer Arbeit</t>
  </si>
  <si>
    <t>Soziale Arbeit in der Migrationsgesellschaft</t>
  </si>
  <si>
    <t>Informatik</t>
  </si>
  <si>
    <t>Integrated Engineering</t>
  </si>
  <si>
    <t>Accounting, Controlling, Taxation</t>
  </si>
  <si>
    <t>Digital Business Management</t>
  </si>
  <si>
    <t>Advanced Practice in Healthcare</t>
  </si>
  <si>
    <t>Intensive Care</t>
  </si>
  <si>
    <t>Sozialwesen</t>
  </si>
  <si>
    <t>Technik</t>
  </si>
  <si>
    <t>Gesundheit</t>
  </si>
  <si>
    <t>quelle. Studierendenstatistik 2024.09.27 - für SG und FB Präsis</t>
  </si>
  <si>
    <t>In welchen Studiengängen belegen die Studierenden Module?Studiengang? [Profil]</t>
  </si>
  <si>
    <t>DHBW</t>
  </si>
  <si>
    <t>Hochschule</t>
  </si>
  <si>
    <t>Universität</t>
  </si>
  <si>
    <t>Ausland/k.A.</t>
  </si>
  <si>
    <t>andere Hochschule</t>
  </si>
  <si>
    <t>Forschungsinstitut</t>
  </si>
  <si>
    <t>freiberufl./selbst.</t>
  </si>
  <si>
    <t>Öffentliche Einrichtung</t>
  </si>
  <si>
    <t>Rechtsanwalt / StB/ Richter</t>
  </si>
  <si>
    <t>Soz. Einrichtung / Verbände</t>
  </si>
  <si>
    <t>Unternehmen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</si>
</sst>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2" borderId="0" xfId="1"/>
    <xf numFmtId="0" fontId="0" fillId="0" borderId="0" xfId="0" applyAlignment="1"/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zoomScale="85" zoomScaleNormal="85"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S28" sqref="S28"/>
    </sheetView>
  </sheetViews>
  <sheetFormatPr baseColWidth="10" defaultColWidth="15.28515625" defaultRowHeight="15" x14ac:dyDescent="0.25"/>
  <cols>
    <col min="1" max="1" width="31.28515625" customWidth="1"/>
    <col min="11" max="11" width="15.5703125" customWidth="1"/>
    <col min="16" max="18" width="30" customWidth="1"/>
  </cols>
  <sheetData>
    <row r="1" spans="1:20" s="1" customFormat="1" x14ac:dyDescent="0.25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18</v>
      </c>
      <c r="Q1" s="2" t="s">
        <v>32</v>
      </c>
      <c r="R1" s="2" t="s">
        <v>14</v>
      </c>
      <c r="S1" s="1" t="s">
        <v>15</v>
      </c>
      <c r="T1" s="1" t="s">
        <v>19</v>
      </c>
    </row>
    <row r="2" spans="1:20" x14ac:dyDescent="0.25">
      <c r="A2" s="3" t="s">
        <v>26</v>
      </c>
      <c r="B2" t="s">
        <v>30</v>
      </c>
      <c r="D2">
        <v>22</v>
      </c>
      <c r="E2">
        <v>15</v>
      </c>
      <c r="F2">
        <v>17</v>
      </c>
      <c r="G2" s="5">
        <v>0</v>
      </c>
      <c r="H2" s="5">
        <v>22</v>
      </c>
      <c r="I2" s="5">
        <v>35</v>
      </c>
      <c r="J2">
        <v>52</v>
      </c>
      <c r="K2" t="str">
        <f>CONCATENATE("{DHBW: ", Vorstudium!C2,"; ","Hochschule: ",Vorstudium!D2,"; ","Universität: ",Vorstudium!E2,"; ","Ausland/k.A.: ",Vorstudium!F2,"}")</f>
        <v>{DHBW: 0,666666666666667; Hochschule: 0,222222222222222; Universität: 0,0740740740740741; Ausland/k.A.: 0,037037037037037}</v>
      </c>
      <c r="L2" s="6">
        <v>0</v>
      </c>
      <c r="M2" s="7"/>
      <c r="N2">
        <v>3.8</v>
      </c>
      <c r="O2">
        <v>33.6</v>
      </c>
      <c r="P2" t="str">
        <f>CONCATENATE("{",'Doz-Herkunft'!$C$1,": ",'Doz-Herkunft'!C2,"; ",'Doz-Herkunft'!$D$1,": ",'Doz-Herkunft'!D2,"; ",'Doz-Herkunft'!$E$1,": ",'Doz-Herkunft'!E2,"; ",'Doz-Herkunft'!$F$1,": ",'Doz-Herkunft'!F2,"; ",'Doz-Herkunft'!$G$1,": ",'Doz-Herkunft'!G2,"; ",'Doz-Herkunft'!$H$1,": ",'Doz-Herkunft'!H2,"; ",'Doz-Herkunft'!$I$1,": ",'Doz-Herkunft'!I2,"; ",'Doz-Herkunft'!$J$1,": ",'Doz-Herkunft'!J2,"}")</f>
        <v>{DHBW: 352; andere Hochschule: 154; Forschungsinstitut: 0; freiberufl./selbst.: 64; Öffentliche Einrichtung: 68; Rechtsanwalt / StB/ Richter: 0; Soz. Einrichtung / Verbände: 0; Unternehmen: 8}</v>
      </c>
      <c r="Q2" t="str">
        <f>CONCATENATE("{",'Module SG'!$C$1,": ",'Module SG'!C2,"; ",'Module SG'!$D$1,": ",'Module SG'!D2,"; ",'Module SG'!$E$1,": ",'Module SG'!E2,"; ",'Module SG'!$F$1,": ",'Module SG'!F2,"; ",'Module SG'!$G$1,": ",'Module SG'!G2,"; ",'Module SG'!$H$1,": ",'Module SG'!H2,"; ",'Module SG'!$I$1,": ",'Module SG'!I2,"; ",'Module SG'!$J$1,": ",'Module SG'!J2,"}")</f>
        <v>{Advanced Practice in Healthcare: 286; Intensive Care: 0; Governance Sozialer Arbeit: 0; Soziale Arbeit in der Migrationsgesellschaft: 0; Informatik: 0; Integrated Engineering: 0; Accounting, Controlling, Taxation: 0; Digital Business Management: 0}</v>
      </c>
      <c r="R2" t="str">
        <f>CONCATENATE("{",'Module Herkunft'!$C$1,": ",'Module Herkunft'!C2,"; ",'Module Herkunft'!$D$1,": ",'Module Herkunft'!D2,"; ",'Module Herkunft'!$E$1,": ",'Module Herkunft'!E2,"; ",'Module Herkunft'!$F$1,": ",'Module Herkunft'!F2,"; ",'Module Herkunft'!$G$1,": ",'Module Herkunft'!G2,"; ",'Module Herkunft'!$H$1,": ",'Module Herkunft'!H2,"; ",'Module Herkunft'!$I$1,": ",'Module Herkunft'!I2,"; ",'Module Herkunft'!$J$1,": ",'Module Herkunft'!J2,"}")</f>
        <v>{Advanced Practice in Healthcare: 286; Intensive Care: ; Governance Sozialer Arbeit: 1; Soziale Arbeit in der Migrationsgesellschaft: 0; Informatik: 0; Integrated Engineering: 0; Accounting, Controlling, Taxation: 0; Digital Business Management: 0}</v>
      </c>
      <c r="S2" s="7">
        <v>7.7</v>
      </c>
      <c r="T2">
        <v>16</v>
      </c>
    </row>
    <row r="3" spans="1:20" x14ac:dyDescent="0.25">
      <c r="A3" s="3" t="s">
        <v>27</v>
      </c>
      <c r="B3" t="s">
        <v>30</v>
      </c>
      <c r="E3">
        <v>6</v>
      </c>
      <c r="F3">
        <v>0</v>
      </c>
      <c r="G3" s="5">
        <v>0</v>
      </c>
      <c r="H3" s="5">
        <v>0</v>
      </c>
      <c r="I3" s="5">
        <v>0</v>
      </c>
      <c r="J3">
        <v>6</v>
      </c>
      <c r="K3" t="str">
        <f>CONCATENATE("{DHBW: ", Vorstudium!C3,"; ","Hochschule: ",Vorstudium!D3,"; ","Universität: ",Vorstudium!E3,"; ","Ausland/k.A.: ",Vorstudium!F3,"}")</f>
        <v>{DHBW: 0,5; Hochschule: 0,333333333333333; Universität: 0; Ausland/k.A.: 0,166666666666667}</v>
      </c>
      <c r="L3" s="6">
        <v>0</v>
      </c>
      <c r="M3" s="7"/>
      <c r="N3">
        <v>3.1</v>
      </c>
      <c r="O3">
        <v>28.8</v>
      </c>
      <c r="P3" t="str">
        <f>CONCATENATE("{",'Doz-Herkunft'!$C$1,": ",'Doz-Herkunft'!C3,"; ",'Doz-Herkunft'!$D$1,": ",'Doz-Herkunft'!D3,"; ",'Doz-Herkunft'!$E$1,": ",'Doz-Herkunft'!E3,"; ",'Doz-Herkunft'!$F$1,": ",'Doz-Herkunft'!F3,"; ",'Doz-Herkunft'!$G$1,": ",'Doz-Herkunft'!G3,"; ",'Doz-Herkunft'!$H$1,": ",'Doz-Herkunft'!H3,"; ",'Doz-Herkunft'!$I$1,": ",'Doz-Herkunft'!I3,"; ",'Doz-Herkunft'!$J$1,": ",'Doz-Herkunft'!J3,"}")</f>
        <v>{DHBW: 49; andere Hochschule: 0; Forschungsinstitut: 0; freiberufl./selbst.: 40; Öffentliche Einrichtung: 36; Rechtsanwalt / StB/ Richter: 0; Soz. Einrichtung / Verbände: 0; Unternehmen: 0}</v>
      </c>
      <c r="Q3" t="str">
        <f>CONCATENATE("{",'Module SG'!$C$1,": ",'Module SG'!C3,"; ",'Module SG'!$D$1,": ",'Module SG'!D3,"; ",'Module SG'!$E$1,": ",'Module SG'!E3,"; ",'Module SG'!$F$1,": ",'Module SG'!F3,"; ",'Module SG'!$G$1,": ",'Module SG'!G3,"; ",'Module SG'!$H$1,": ",'Module SG'!H3,"; ",'Module SG'!$I$1,": ",'Module SG'!I3,"; ",'Module SG'!$J$1,": ",'Module SG'!J3,"}")</f>
        <v>{Advanced Practice in Healthcare: 0; Intensive Care: 48; Governance Sozialer Arbeit: 0; Soziale Arbeit in der Migrationsgesellschaft: 0; Informatik: 0; Integrated Engineering: 0; Accounting, Controlling, Taxation: 0; Digital Business Management: 0}</v>
      </c>
      <c r="R3" t="str">
        <f>CONCATENATE("{",'Module Herkunft'!$C$1,": ",'Module Herkunft'!C3,"; ",'Module Herkunft'!$D$1,": ",'Module Herkunft'!D3,"; ",'Module Herkunft'!$E$1,": ",'Module Herkunft'!E3,"; ",'Module Herkunft'!$F$1,": ",'Module Herkunft'!F3,"; ",'Module Herkunft'!$G$1,": ",'Module Herkunft'!G3,"; ",'Module Herkunft'!$H$1,": ",'Module Herkunft'!H3,"; ",'Module Herkunft'!$I$1,": ",'Module Herkunft'!I3,"; ",'Module Herkunft'!$J$1,": ",'Module Herkunft'!J3,"}")</f>
        <v>{Advanced Practice in Healthcare: 0; Intensive Care: 48; Governance Sozialer Arbeit: 0; Soziale Arbeit in der Migrationsgesellschaft: 0; Informatik: 0; Integrated Engineering: 0; Accounting, Controlling, Taxation: 0; Digital Business Management: 0}</v>
      </c>
      <c r="S3" s="7">
        <v>6</v>
      </c>
      <c r="T3">
        <v>5</v>
      </c>
    </row>
    <row r="4" spans="1:20" x14ac:dyDescent="0.25">
      <c r="A4" s="3" t="s">
        <v>20</v>
      </c>
      <c r="B4" t="s">
        <v>28</v>
      </c>
      <c r="C4">
        <v>15</v>
      </c>
      <c r="D4">
        <v>10</v>
      </c>
      <c r="E4">
        <v>14</v>
      </c>
      <c r="F4">
        <v>5</v>
      </c>
      <c r="G4">
        <v>64</v>
      </c>
      <c r="H4">
        <v>55</v>
      </c>
      <c r="I4">
        <v>51</v>
      </c>
      <c r="J4">
        <v>45</v>
      </c>
      <c r="K4" t="str">
        <f>CONCATENATE("{DHBW: ", Vorstudium!C4,"; ","Hochschule: ",Vorstudium!D4,"; ","Universität: ",Vorstudium!E4,"; ","Ausland/k.A.: ",Vorstudium!F4,"}")</f>
        <v>{DHBW: 0,727272727272727; Hochschule: 0,181818181818182; Universität: 0,0909090909090909; Ausland/k.A.: 0}</v>
      </c>
      <c r="L4" s="6">
        <v>0.90300000000000002</v>
      </c>
      <c r="M4" s="7">
        <v>4.8571428571428568</v>
      </c>
      <c r="N4" s="7">
        <v>3.0460526315789473</v>
      </c>
      <c r="O4" s="7">
        <v>27.613636363636363</v>
      </c>
      <c r="P4" t="str">
        <f>CONCATENATE("{",'Doz-Herkunft'!$C$1,": ",'Doz-Herkunft'!C4,"; ",'Doz-Herkunft'!$D$1,": ",'Doz-Herkunft'!D4,"; ",'Doz-Herkunft'!$E$1,": ",'Doz-Herkunft'!E4,"; ",'Doz-Herkunft'!$F$1,": ",'Doz-Herkunft'!F4,"; ",'Doz-Herkunft'!$G$1,": ",'Doz-Herkunft'!G4,"; ",'Doz-Herkunft'!$H$1,": ",'Doz-Herkunft'!H4,"; ",'Doz-Herkunft'!$I$1,": ",'Doz-Herkunft'!I4,"; ",'Doz-Herkunft'!$J$1,": ",'Doz-Herkunft'!J4,"}")</f>
        <v>{DHBW: 154; andere Hochschule: 8; Forschungsinstitut: 24; freiberufl./selbst.: 99,4; Öffentliche Einrichtung: 0; Rechtsanwalt / StB/ Richter: 8; Soz. Einrichtung / Verbände: 8; Unternehmen: 32}</v>
      </c>
      <c r="Q4" t="str">
        <f>CONCATENATE("{",'Module SG'!$C$1,": ",'Module SG'!C4,"; ",'Module SG'!$D$1,": ",'Module SG'!D4,"; ",'Module SG'!$E$1,": ",'Module SG'!E4,"; ",'Module SG'!$F$1,": ",'Module SG'!F4,"; ",'Module SG'!$G$1,": ",'Module SG'!G4,"; ",'Module SG'!$H$1,": ",'Module SG'!H4,"; ",'Module SG'!$I$1,": ",'Module SG'!I4,"; ",'Module SG'!$J$1,": ",'Module SG'!J4,"}")</f>
        <v>{Advanced Practice in Healthcare: 1; Intensive Care: 0; Governance Sozialer Arbeit: 184; Soziale Arbeit in der Migrationsgesellschaft: 11; Informatik: 0; Integrated Engineering: 0; Accounting, Controlling, Taxation: 0; Digital Business Management: 0}</v>
      </c>
      <c r="R4" t="str">
        <f>CONCATENATE("{",'Module Herkunft'!$C$1,": ",'Module Herkunft'!C4,"; ",'Module Herkunft'!$D$1,": ",'Module Herkunft'!D4,"; ",'Module Herkunft'!$E$1,": ",'Module Herkunft'!E4,"; ",'Module Herkunft'!$F$1,": ",'Module Herkunft'!F4,"; ",'Module Herkunft'!$G$1,": ",'Module Herkunft'!G4,"; ",'Module Herkunft'!$H$1,": ",'Module Herkunft'!H4,"; ",'Module Herkunft'!$I$1,": ",'Module Herkunft'!I4,"; ",'Module Herkunft'!$J$1,": ",'Module Herkunft'!J4,"}")</f>
        <v>{Advanced Practice in Healthcare: 0; Intensive Care: 0; Governance Sozialer Arbeit: 184; Soziale Arbeit in der Migrationsgesellschaft: 4; Informatik: 0; Integrated Engineering: 0; Accounting, Controlling, Taxation: 0; Digital Business Management: 0}</v>
      </c>
      <c r="S4" s="7">
        <v>8.6999999999999993</v>
      </c>
      <c r="T4">
        <v>7</v>
      </c>
    </row>
    <row r="5" spans="1:20" x14ac:dyDescent="0.25">
      <c r="A5" s="3" t="s">
        <v>21</v>
      </c>
      <c r="B5" t="s">
        <v>28</v>
      </c>
      <c r="C5">
        <v>7</v>
      </c>
      <c r="D5">
        <v>8</v>
      </c>
      <c r="E5">
        <v>4</v>
      </c>
      <c r="F5">
        <v>6</v>
      </c>
      <c r="G5">
        <v>32</v>
      </c>
      <c r="H5">
        <v>31</v>
      </c>
      <c r="I5">
        <v>30</v>
      </c>
      <c r="J5">
        <v>25</v>
      </c>
      <c r="K5" t="str">
        <f>CONCATENATE("{DHBW: ", Vorstudium!C5,"; ","Hochschule: ",Vorstudium!D5,"; ","Universität: ",Vorstudium!E5,"; ","Ausland/k.A.: ",Vorstudium!F5,"}")</f>
        <v>{DHBW: 0,12; Hochschule: 0,48; Universität: 0,28; Ausland/k.A.: 0,12}</v>
      </c>
      <c r="L5" s="6">
        <v>0.93</v>
      </c>
      <c r="M5" s="7">
        <v>5.333333333333333</v>
      </c>
      <c r="N5" s="7">
        <v>4.2992424242424248</v>
      </c>
      <c r="O5" s="7">
        <v>33.32</v>
      </c>
      <c r="P5" t="str">
        <f>CONCATENATE("{",'Doz-Herkunft'!$C$1,": ",'Doz-Herkunft'!C5,"; ",'Doz-Herkunft'!$D$1,": ",'Doz-Herkunft'!D5,"; ",'Doz-Herkunft'!$E$1,": ",'Doz-Herkunft'!E5,"; ",'Doz-Herkunft'!$F$1,": ",'Doz-Herkunft'!F5,"; ",'Doz-Herkunft'!$G$1,": ",'Doz-Herkunft'!G5,"; ",'Doz-Herkunft'!$H$1,": ",'Doz-Herkunft'!H5,"; ",'Doz-Herkunft'!$I$1,": ",'Doz-Herkunft'!I5,"; ",'Doz-Herkunft'!$J$1,": ",'Doz-Herkunft'!J5,"}")</f>
        <v>{DHBW: 222; andere Hochschule: 64; Forschungsinstitut: 37; freiberufl./selbst.: 24; Öffentliche Einrichtung: 0; Rechtsanwalt / StB/ Richter: 0; Soz. Einrichtung / Verbände: 42; Unternehmen: 0}</v>
      </c>
      <c r="Q5" t="str">
        <f>CONCATENATE("{",'Module SG'!$C$1,": ",'Module SG'!C5,"; ",'Module SG'!$D$1,": ",'Module SG'!D5,"; ",'Module SG'!$E$1,": ",'Module SG'!E5,"; ",'Module SG'!$F$1,": ",'Module SG'!F5,"; ",'Module SG'!$G$1,": ",'Module SG'!G5,"; ",'Module SG'!$H$1,": ",'Module SG'!H5,"; ",'Module SG'!$I$1,": ",'Module SG'!I5,"; ",'Module SG'!$J$1,": ",'Module SG'!J5,"}")</f>
        <v>{Advanced Practice in Healthcare: 0; Intensive Care: 0; Governance Sozialer Arbeit: 17; Soziale Arbeit in der Migrationsgesellschaft: 114; Informatik: 0; Integrated Engineering: 0; Accounting, Controlling, Taxation: 0; Digital Business Management: 0}</v>
      </c>
      <c r="R5" t="str">
        <f>CONCATENATE("{",'Module Herkunft'!$C$1,": ",'Module Herkunft'!C5,"; ",'Module Herkunft'!$D$1,": ",'Module Herkunft'!D5,"; ",'Module Herkunft'!$E$1,": ",'Module Herkunft'!E5,"; ",'Module Herkunft'!$F$1,": ",'Module Herkunft'!F5,"; ",'Module Herkunft'!$G$1,": ",'Module Herkunft'!G5,"; ",'Module Herkunft'!$H$1,": ",'Module Herkunft'!H5,"; ",'Module Herkunft'!$I$1,": ",'Module Herkunft'!I5,"; ",'Module Herkunft'!$J$1,": ",'Module Herkunft'!J5,"}")</f>
        <v>{Advanced Practice in Healthcare: 0; Intensive Care: 0; Governance Sozialer Arbeit: 11; Soziale Arbeit in der Migrationsgesellschaft: 67; Informatik: 0; Integrated Engineering: 0; Accounting, Controlling, Taxation: 0; Digital Business Management: 0}</v>
      </c>
      <c r="S5" s="7">
        <v>5.8</v>
      </c>
      <c r="T5">
        <v>4</v>
      </c>
    </row>
    <row r="6" spans="1:20" x14ac:dyDescent="0.25">
      <c r="A6" s="3" t="s">
        <v>22</v>
      </c>
      <c r="B6" t="s">
        <v>29</v>
      </c>
      <c r="C6">
        <v>22</v>
      </c>
      <c r="D6">
        <v>29</v>
      </c>
      <c r="E6">
        <v>38</v>
      </c>
      <c r="F6">
        <v>27</v>
      </c>
      <c r="G6">
        <v>110</v>
      </c>
      <c r="H6">
        <v>100</v>
      </c>
      <c r="I6">
        <v>115</v>
      </c>
      <c r="J6">
        <v>118</v>
      </c>
      <c r="K6" t="str">
        <f>CONCATENATE("{DHBW: ", Vorstudium!C6,"; ","Hochschule: ",Vorstudium!D6,"; ","Universität: ",Vorstudium!E6,"; ","Ausland/k.A.: ",Vorstudium!F6,"}")</f>
        <v>{DHBW: 0,689655172413793; Hochschule: 0,198275862068966; Universität: 0,0775862068965517; Ausland/k.A.: 0,0344827586206897}</v>
      </c>
      <c r="L6" s="6">
        <v>0.83199999999999996</v>
      </c>
      <c r="M6" s="7">
        <v>5.125</v>
      </c>
      <c r="N6" s="7">
        <v>1.7484423676012462</v>
      </c>
      <c r="O6" s="7">
        <v>25.008620689655171</v>
      </c>
      <c r="P6" t="str">
        <f>CONCATENATE("{",'Doz-Herkunft'!$C$1,": ",'Doz-Herkunft'!C6,"; ",'Doz-Herkunft'!$D$1,": ",'Doz-Herkunft'!D6,"; ",'Doz-Herkunft'!$E$1,": ",'Doz-Herkunft'!E6,"; ",'Doz-Herkunft'!$F$1,": ",'Doz-Herkunft'!F6,"; ",'Doz-Herkunft'!$G$1,": ",'Doz-Herkunft'!G6,"; ",'Doz-Herkunft'!$H$1,": ",'Doz-Herkunft'!H6,"; ",'Doz-Herkunft'!$I$1,": ",'Doz-Herkunft'!I6,"; ",'Doz-Herkunft'!$J$1,": ",'Doz-Herkunft'!J6,"}")</f>
        <v>{DHBW: 800; andere Hochschule: 56; Forschungsinstitut: 72; freiberufl./selbst.: 96; Öffentliche Einrichtung: 0; Rechtsanwalt / StB/ Richter: 0; Soz. Einrichtung / Verbände: 0; Unternehmen: 0}</v>
      </c>
      <c r="Q6" t="str">
        <f>CONCATENATE("{",'Module SG'!$C$1,": ",'Module SG'!C6,"; ",'Module SG'!$D$1,": ",'Module SG'!D6,"; ",'Module SG'!$E$1,": ",'Module SG'!E6,"; ",'Module SG'!$F$1,": ",'Module SG'!F6,"; ",'Module SG'!$G$1,": ",'Module SG'!G6,"; ",'Module SG'!$H$1,": ",'Module SG'!H6,"; ",'Module SG'!$I$1,": ",'Module SG'!I6,"; ",'Module SG'!$J$1,": ",'Module SG'!J6,"}")</f>
        <v>{Advanced Practice in Healthcare: 0; Intensive Care: 0; Governance Sozialer Arbeit: 0; Soziale Arbeit in der Migrationsgesellschaft: 0; Informatik: 386; Integrated Engineering: 13; Accounting, Controlling, Taxation: 0; Digital Business Management: 0}</v>
      </c>
      <c r="R6" t="str">
        <f>CONCATENATE("{",'Module Herkunft'!$C$1,": ",'Module Herkunft'!C6,"; ",'Module Herkunft'!$D$1,": ",'Module Herkunft'!D6,"; ",'Module Herkunft'!$E$1,": ",'Module Herkunft'!E6,"; ",'Module Herkunft'!$F$1,": ",'Module Herkunft'!F6,"; ",'Module Herkunft'!$G$1,": ",'Module Herkunft'!G6,"; ",'Module Herkunft'!$H$1,": ",'Module Herkunft'!H6,"; ",'Module Herkunft'!$I$1,": ",'Module Herkunft'!I6,"; ",'Module Herkunft'!$J$1,": ",'Module Herkunft'!J6,"}")</f>
        <v>{Advanced Practice in Healthcare: 0; Intensive Care: 0; Governance Sozialer Arbeit: 0; Soziale Arbeit in der Migrationsgesellschaft: 0; Informatik: 386; Integrated Engineering: 65; Accounting, Controlling, Taxation: 0; Digital Business Management: 2}</v>
      </c>
      <c r="S6" s="7">
        <v>18</v>
      </c>
      <c r="T6">
        <v>9</v>
      </c>
    </row>
    <row r="7" spans="1:20" x14ac:dyDescent="0.25">
      <c r="A7" s="3" t="s">
        <v>23</v>
      </c>
      <c r="B7" t="s">
        <v>29</v>
      </c>
      <c r="C7">
        <v>28</v>
      </c>
      <c r="D7">
        <v>22</v>
      </c>
      <c r="E7">
        <v>43</v>
      </c>
      <c r="F7">
        <v>17</v>
      </c>
      <c r="G7">
        <v>129</v>
      </c>
      <c r="H7">
        <v>116</v>
      </c>
      <c r="I7">
        <v>120</v>
      </c>
      <c r="J7">
        <v>117</v>
      </c>
      <c r="K7" t="str">
        <f>CONCATENATE("{DHBW: ", Vorstudium!C7,"; ","Hochschule: ",Vorstudium!D7,"; ","Universität: ",Vorstudium!E7,"; ","Ausland/k.A.: ",Vorstudium!F7,"}")</f>
        <v>{DHBW: 0,736363636363636; Hochschule: 0,218181818181818; Universität: 0; Ausland/k.A.: 0,0454545454545455}</v>
      </c>
      <c r="L7" s="6">
        <v>0.98799999999999999</v>
      </c>
      <c r="M7" s="7">
        <v>4.5454545454545459</v>
      </c>
      <c r="N7" s="7">
        <v>3.0290880503144653</v>
      </c>
      <c r="O7" s="7">
        <v>26.618181818181817</v>
      </c>
      <c r="P7" t="str">
        <f>CONCATENATE("{",'Doz-Herkunft'!$C$1,": ",'Doz-Herkunft'!C7,"; ",'Doz-Herkunft'!$D$1,": ",'Doz-Herkunft'!D7,"; ",'Doz-Herkunft'!$E$1,": ",'Doz-Herkunft'!E7,"; ",'Doz-Herkunft'!$F$1,": ",'Doz-Herkunft'!F7,"; ",'Doz-Herkunft'!$G$1,": ",'Doz-Herkunft'!G7,"; ",'Doz-Herkunft'!$H$1,": ",'Doz-Herkunft'!H7,"; ",'Doz-Herkunft'!$I$1,": ",'Doz-Herkunft'!I7,"; ",'Doz-Herkunft'!$J$1,": ",'Doz-Herkunft'!J7,"}")</f>
        <v>{DHBW: 524; andere Hochschule: 36; Forschungsinstitut: 32; freiberufl./selbst.: 40; Öffentliche Einrichtung: 0; Rechtsanwalt / StB/ Richter: 0; Soz. Einrichtung / Verbände: 0; Unternehmen: 0}</v>
      </c>
      <c r="Q7" t="str">
        <f>CONCATENATE("{",'Module SG'!$C$1,": ",'Module SG'!C7,"; ",'Module SG'!$D$1,": ",'Module SG'!D7,"; ",'Module SG'!$E$1,": ",'Module SG'!E7,"; ",'Module SG'!$F$1,": ",'Module SG'!F7,"; ",'Module SG'!$G$1,": ",'Module SG'!G7,"; ",'Module SG'!$H$1,": ",'Module SG'!H7,"; ",'Module SG'!$I$1,": ",'Module SG'!I7,"; ",'Module SG'!$J$1,": ",'Module SG'!J7,"}")</f>
        <v>{Advanced Practice in Healthcare: 0; Intensive Care: 0; Governance Sozialer Arbeit: 0; Soziale Arbeit in der Migrationsgesellschaft: 0; Informatik: 65; Integrated Engineering: 150; Accounting, Controlling, Taxation: 0; Digital Business Management: 5}</v>
      </c>
      <c r="R7" t="str">
        <f>CONCATENATE("{",'Module Herkunft'!$C$1,": ",'Module Herkunft'!C7,"; ",'Module Herkunft'!$D$1,": ",'Module Herkunft'!D7,"; ",'Module Herkunft'!$E$1,": ",'Module Herkunft'!E7,"; ",'Module Herkunft'!$F$1,": ",'Module Herkunft'!F7,"; ",'Module Herkunft'!$G$1,": ",'Module Herkunft'!G7,"; ",'Module Herkunft'!$H$1,": ",'Module Herkunft'!H7,"; ",'Module Herkunft'!$I$1,": ",'Module Herkunft'!I7,"; ",'Module Herkunft'!$J$1,": ",'Module Herkunft'!J7,"}")</f>
        <v>{Advanced Practice in Healthcare: 0; Intensive Care: 0; Governance Sozialer Arbeit: 0; Soziale Arbeit in der Migrationsgesellschaft: 0; Informatik: 13; Integrated Engineering: 150; Accounting, Controlling, Taxation: 0; Digital Business Management: 0}</v>
      </c>
      <c r="S7" s="7">
        <v>22.2</v>
      </c>
      <c r="T7">
        <v>5</v>
      </c>
    </row>
    <row r="8" spans="1:20" x14ac:dyDescent="0.25">
      <c r="A8" s="3" t="s">
        <v>24</v>
      </c>
      <c r="B8" t="s">
        <v>17</v>
      </c>
      <c r="C8">
        <v>37</v>
      </c>
      <c r="D8">
        <v>21</v>
      </c>
      <c r="E8">
        <v>20</v>
      </c>
      <c r="F8">
        <v>17</v>
      </c>
      <c r="G8">
        <v>40</v>
      </c>
      <c r="H8">
        <v>66</v>
      </c>
      <c r="I8">
        <v>74</v>
      </c>
      <c r="J8">
        <v>63</v>
      </c>
      <c r="K8" t="str">
        <f>CONCATENATE("{DHBW: ", Vorstudium!C8,"; ","Hochschule: ",Vorstudium!D8,"; ","Universität: ",Vorstudium!E8,"; ","Ausland/k.A.: ",Vorstudium!F8,"}")</f>
        <v>{DHBW: 0,610526315789474; Hochschule: 0,326315789473684; Universität: 0,0526315789473684; Ausland/k.A.: 0,0105263157894737}</v>
      </c>
      <c r="L8" s="6">
        <v>0.83333333333333337</v>
      </c>
      <c r="M8" s="7">
        <v>4.0857142857142854</v>
      </c>
      <c r="N8" s="7">
        <v>2.943548387096774</v>
      </c>
      <c r="O8" s="7">
        <v>26.705263157894738</v>
      </c>
      <c r="P8" t="str">
        <f>CONCATENATE("{",'Doz-Herkunft'!$C$1,": ",'Doz-Herkunft'!C8,"; ",'Doz-Herkunft'!$D$1,": ",'Doz-Herkunft'!D8,"; ",'Doz-Herkunft'!$E$1,": ",'Doz-Herkunft'!E8,"; ",'Doz-Herkunft'!$F$1,": ",'Doz-Herkunft'!F8,"; ",'Doz-Herkunft'!$G$1,": ",'Doz-Herkunft'!G8,"; ",'Doz-Herkunft'!$H$1,": ",'Doz-Herkunft'!H8,"; ",'Doz-Herkunft'!$I$1,": ",'Doz-Herkunft'!I8,"; ",'Doz-Herkunft'!$J$1,": ",'Doz-Herkunft'!J8,"}")</f>
        <v>{DHBW: 441; andere Hochschule: 16; Forschungsinstitut: 0; freiberufl./selbst.: 0; Öffentliche Einrichtung: 0; Rechtsanwalt / StB/ Richter: 0; Soz. Einrichtung / Verbände: 0; Unternehmen: 10}</v>
      </c>
      <c r="Q8" t="str">
        <f>CONCATENATE("{",'Module SG'!$C$1,": ",'Module SG'!C8,"; ",'Module SG'!$D$1,": ",'Module SG'!D8,"; ",'Module SG'!$E$1,": ",'Module SG'!E8,"; ",'Module SG'!$F$1,": ",'Module SG'!F8,"; ",'Module SG'!$G$1,": ",'Module SG'!G8,"; ",'Module SG'!$H$1,": ",'Module SG'!H8,"; ",'Module SG'!$I$1,": ",'Module SG'!I8,"; ",'Module SG'!$J$1,": ",'Module SG'!J8,"}")</f>
        <v>{Advanced Practice in Healthcare: 0; Intensive Care: 0; Governance Sozialer Arbeit: 0; Soziale Arbeit in der Migrationsgesellschaft: 0; Informatik: 0; Integrated Engineering: 1; Accounting, Controlling, Taxation: 268; Digital Business Management: 5}</v>
      </c>
      <c r="R8" t="str">
        <f>CONCATENATE("{",'Module Herkunft'!$C$1,": ",'Module Herkunft'!C8,"; ",'Module Herkunft'!$D$1,": ",'Module Herkunft'!D8,"; ",'Module Herkunft'!$E$1,": ",'Module Herkunft'!E8,"; ",'Module Herkunft'!$F$1,": ",'Module Herkunft'!F8,"; ",'Module Herkunft'!$G$1,": ",'Module Herkunft'!G8,"; ",'Module Herkunft'!$H$1,": ",'Module Herkunft'!H8,"; ",'Module Herkunft'!$I$1,": ",'Module Herkunft'!I8,"; ",'Module Herkunft'!$J$1,": ",'Module Herkunft'!J8,"}")</f>
        <v>{Advanced Practice in Healthcare: 0; Intensive Care: 0; Governance Sozialer Arbeit: 0; Soziale Arbeit in der Migrationsgesellschaft: 0; Informatik: 0; Integrated Engineering: 0; Accounting, Controlling, Taxation: 268; Digital Business Management: 54}</v>
      </c>
      <c r="S8" s="7">
        <v>13.3</v>
      </c>
      <c r="T8">
        <v>7</v>
      </c>
    </row>
    <row r="9" spans="1:20" x14ac:dyDescent="0.25">
      <c r="A9" s="3" t="s">
        <v>25</v>
      </c>
      <c r="B9" t="s">
        <v>17</v>
      </c>
      <c r="C9">
        <v>26</v>
      </c>
      <c r="D9">
        <v>22</v>
      </c>
      <c r="E9">
        <v>20</v>
      </c>
      <c r="F9">
        <v>10</v>
      </c>
      <c r="G9">
        <v>27</v>
      </c>
      <c r="H9" s="5">
        <v>53</v>
      </c>
      <c r="I9" s="5">
        <v>62</v>
      </c>
      <c r="J9">
        <v>60</v>
      </c>
      <c r="K9" t="str">
        <f>CONCATENATE("{DHBW: ", Vorstudium!C9,"; ","Hochschule: ",Vorstudium!D9,"; ","Universität: ",Vorstudium!E9,"; ","Ausland/k.A.: ",Vorstudium!F9,"}")</f>
        <v>{DHBW: 0,653846153846154; Hochschule: 0,256410256410256; Universität: 0,0641025641025641; Ausland/k.A.: 0,0256410256410256}</v>
      </c>
      <c r="L9" s="6">
        <v>0.93103448275862066</v>
      </c>
      <c r="M9" s="7">
        <v>4.5925925925925926</v>
      </c>
      <c r="N9" s="7">
        <v>2.5370370370370368</v>
      </c>
      <c r="O9" s="7">
        <v>26.717948717948719</v>
      </c>
      <c r="P9" t="str">
        <f>CONCATENATE("{",'Doz-Herkunft'!$C$1,": ",'Doz-Herkunft'!C9,"; ",'Doz-Herkunft'!$D$1,": ",'Doz-Herkunft'!D9,"; ",'Doz-Herkunft'!$E$1,": ",'Doz-Herkunft'!E9,"; ",'Doz-Herkunft'!$F$1,": ",'Doz-Herkunft'!F9,"; ",'Doz-Herkunft'!$G$1,": ",'Doz-Herkunft'!G9,"; ",'Doz-Herkunft'!$H$1,": ",'Doz-Herkunft'!H9,"; ",'Doz-Herkunft'!$I$1,": ",'Doz-Herkunft'!I9,"; ",'Doz-Herkunft'!$J$1,": ",'Doz-Herkunft'!J9,"}")</f>
        <v>{DHBW: 410; andere Hochschule: 0; Forschungsinstitut: 0; freiberufl./selbst.: 0; Öffentliche Einrichtung: 0; Rechtsanwalt / StB/ Richter: 0; Soz. Einrichtung / Verbände: 0; Unternehmen: 8}</v>
      </c>
      <c r="Q9" t="str">
        <f>CONCATENATE("{",'Module SG'!$C$1,": ",'Module SG'!C9,"; ",'Module SG'!$D$1,": ",'Module SG'!D9,"; ",'Module SG'!$E$1,": ",'Module SG'!E9,"; ",'Module SG'!$F$1,": ",'Module SG'!F9,"; ",'Module SG'!$G$1,": ",'Module SG'!G9,"; ",'Module SG'!$H$1,": ",'Module SG'!H9,"; ",'Module SG'!$I$1,": ",'Module SG'!I9,"; ",'Module SG'!$J$1,": ",'Module SG'!J9,"}")</f>
        <v>{Advanced Practice in Healthcare: 0; Intensive Care: 0; Governance Sozialer Arbeit: 0; Soziale Arbeit in der Migrationsgesellschaft: 0; Informatik: 2; Integrated Engineering: 0; Accounting, Controlling, Taxation: 54; Digital Business Management: 187}</v>
      </c>
      <c r="R9" t="str">
        <f>CONCATENATE("{",'Module Herkunft'!$C$1,": ",'Module Herkunft'!C9,"; ",'Module Herkunft'!$D$1,": ",'Module Herkunft'!D9,"; ",'Module Herkunft'!$E$1,": ",'Module Herkunft'!E9,"; ",'Module Herkunft'!$F$1,": ",'Module Herkunft'!F9,"; ",'Module Herkunft'!$G$1,": ",'Module Herkunft'!G9,"; ",'Module Herkunft'!$H$1,": ",'Module Herkunft'!H9,"; ",'Module Herkunft'!$I$1,": ",'Module Herkunft'!I9,"; ",'Module Herkunft'!$J$1,": ",'Module Herkunft'!J9,"}")</f>
        <v>{Advanced Practice in Healthcare: 0; Intensive Care: 0; Governance Sozialer Arbeit: 0; Soziale Arbeit in der Migrationsgesellschaft: 0; Informatik: 0; Integrated Engineering: 5; Accounting, Controlling, Taxation: 5; Digital Business Management: 187}</v>
      </c>
      <c r="S9" s="7">
        <v>16.100000000000001</v>
      </c>
      <c r="T9">
        <v>8</v>
      </c>
    </row>
    <row r="10" spans="1:20" x14ac:dyDescent="0.25">
      <c r="L10" s="6"/>
      <c r="M10" s="7"/>
      <c r="S10" s="7"/>
    </row>
    <row r="11" spans="1:20" x14ac:dyDescent="0.25">
      <c r="L11" s="6"/>
      <c r="M11" s="7"/>
      <c r="S11" s="7"/>
    </row>
    <row r="12" spans="1:20" x14ac:dyDescent="0.25">
      <c r="L12" s="6"/>
      <c r="M12" s="7"/>
      <c r="S12" s="7"/>
    </row>
    <row r="13" spans="1:20" x14ac:dyDescent="0.25">
      <c r="L13" s="6"/>
      <c r="M13" s="7"/>
      <c r="S13" s="7"/>
    </row>
    <row r="14" spans="1:20" x14ac:dyDescent="0.25">
      <c r="L14" s="6"/>
      <c r="M14" s="7"/>
      <c r="S14" s="7"/>
    </row>
    <row r="15" spans="1:20" x14ac:dyDescent="0.25">
      <c r="L15" s="6"/>
      <c r="M15" s="7"/>
      <c r="S15" s="7"/>
    </row>
    <row r="16" spans="1:20" x14ac:dyDescent="0.25">
      <c r="L16" s="6"/>
      <c r="M16" s="7"/>
      <c r="S16" s="7"/>
    </row>
    <row r="17" spans="12:19" x14ac:dyDescent="0.25">
      <c r="L17" s="6"/>
      <c r="M17" s="7"/>
      <c r="S17" s="7"/>
    </row>
    <row r="18" spans="12:19" x14ac:dyDescent="0.25">
      <c r="L18" s="6"/>
      <c r="M18" s="7"/>
      <c r="S18" s="7"/>
    </row>
    <row r="19" spans="12:19" x14ac:dyDescent="0.25">
      <c r="L19" s="6"/>
      <c r="M19" s="7"/>
      <c r="S19" s="7"/>
    </row>
    <row r="20" spans="12:19" x14ac:dyDescent="0.25">
      <c r="L20" s="6"/>
      <c r="M20" s="7"/>
      <c r="S20" s="7"/>
    </row>
    <row r="21" spans="12:19" x14ac:dyDescent="0.25">
      <c r="L21" s="6"/>
      <c r="M21" s="7"/>
      <c r="S21" s="7"/>
    </row>
    <row r="22" spans="12:19" x14ac:dyDescent="0.25">
      <c r="L22" s="6"/>
      <c r="M22" s="7"/>
      <c r="S22" s="7"/>
    </row>
    <row r="23" spans="12:19" x14ac:dyDescent="0.25">
      <c r="L23" s="6"/>
      <c r="M23" s="7"/>
      <c r="S23" s="7"/>
    </row>
    <row r="24" spans="12:19" x14ac:dyDescent="0.25">
      <c r="L24" s="6"/>
      <c r="M24" s="7"/>
      <c r="S24" s="7"/>
    </row>
    <row r="25" spans="12:19" x14ac:dyDescent="0.25">
      <c r="L25" s="6"/>
      <c r="S25" s="7"/>
    </row>
    <row r="26" spans="12:19" x14ac:dyDescent="0.25">
      <c r="L26" s="6"/>
      <c r="S26" s="7"/>
    </row>
    <row r="27" spans="12:19" x14ac:dyDescent="0.25">
      <c r="L27" s="6"/>
      <c r="S27" s="7"/>
    </row>
    <row r="28" spans="12:19" x14ac:dyDescent="0.25">
      <c r="L28" s="6"/>
      <c r="S28" s="7"/>
    </row>
    <row r="29" spans="12:19" x14ac:dyDescent="0.25">
      <c r="L29" s="6"/>
      <c r="S29" s="7"/>
    </row>
    <row r="30" spans="12:19" x14ac:dyDescent="0.25">
      <c r="L30" s="6"/>
      <c r="S30" s="7"/>
    </row>
    <row r="31" spans="12:19" x14ac:dyDescent="0.25">
      <c r="L31" s="6"/>
      <c r="S31" s="7"/>
    </row>
    <row r="32" spans="12:19" x14ac:dyDescent="0.25">
      <c r="L32" s="6"/>
      <c r="S32" s="7"/>
    </row>
    <row r="33" spans="12:19" x14ac:dyDescent="0.25">
      <c r="L33" s="6"/>
      <c r="S33" s="7"/>
    </row>
    <row r="34" spans="12:19" x14ac:dyDescent="0.25">
      <c r="L34" s="6"/>
      <c r="S34" s="7"/>
    </row>
    <row r="35" spans="12:19" x14ac:dyDescent="0.25">
      <c r="L35" s="6"/>
    </row>
    <row r="36" spans="12:19" x14ac:dyDescent="0.25">
      <c r="L36" s="6"/>
    </row>
    <row r="37" spans="12:19" x14ac:dyDescent="0.25">
      <c r="L37" s="6"/>
    </row>
    <row r="38" spans="12:19" x14ac:dyDescent="0.25">
      <c r="L38" s="6"/>
    </row>
    <row r="39" spans="12:19" x14ac:dyDescent="0.25">
      <c r="L39" s="6"/>
    </row>
    <row r="40" spans="12:19" x14ac:dyDescent="0.25">
      <c r="L40" s="6"/>
    </row>
    <row r="41" spans="12:19" x14ac:dyDescent="0.25">
      <c r="L41" s="6"/>
    </row>
    <row r="42" spans="12:19" x14ac:dyDescent="0.25">
      <c r="L4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935D-D43F-46CA-AD04-9A76D203B454}">
  <dimension ref="A1:F27"/>
  <sheetViews>
    <sheetView zoomScale="85" zoomScaleNormal="85" workbookViewId="0">
      <selection activeCell="A2" sqref="A2:B9"/>
    </sheetView>
  </sheetViews>
  <sheetFormatPr baseColWidth="10" defaultRowHeight="15" x14ac:dyDescent="0.25"/>
  <cols>
    <col min="1" max="1" width="42.5703125" customWidth="1"/>
    <col min="2" max="2" width="12.7109375" bestFit="1" customWidth="1"/>
  </cols>
  <sheetData>
    <row r="1" spans="1:6" s="1" customFormat="1" x14ac:dyDescent="0.25">
      <c r="A1" s="1" t="s">
        <v>0</v>
      </c>
      <c r="B1" s="1" t="s">
        <v>16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25">
      <c r="A2" s="4" t="s">
        <v>26</v>
      </c>
      <c r="B2" s="4" t="s">
        <v>30</v>
      </c>
      <c r="C2" s="6">
        <v>0.66666666666666663</v>
      </c>
      <c r="D2" s="6">
        <v>0.22222222222222221</v>
      </c>
      <c r="E2" s="6">
        <v>7.407407407407407E-2</v>
      </c>
      <c r="F2" s="6">
        <v>3.7037037037037035E-2</v>
      </c>
    </row>
    <row r="3" spans="1:6" x14ac:dyDescent="0.25">
      <c r="A3" s="4" t="s">
        <v>27</v>
      </c>
      <c r="B3" s="4" t="s">
        <v>30</v>
      </c>
      <c r="C3" s="6">
        <v>0.5</v>
      </c>
      <c r="D3" s="6">
        <v>0.33333333333333331</v>
      </c>
      <c r="E3" s="6">
        <v>0</v>
      </c>
      <c r="F3" s="6">
        <v>0.16666666666666666</v>
      </c>
    </row>
    <row r="4" spans="1:6" x14ac:dyDescent="0.25">
      <c r="A4" s="3" t="s">
        <v>20</v>
      </c>
      <c r="B4" s="3" t="s">
        <v>28</v>
      </c>
      <c r="C4" s="6">
        <v>0.72727272727272729</v>
      </c>
      <c r="D4" s="6">
        <v>0.18181818181818182</v>
      </c>
      <c r="E4" s="6">
        <v>9.0909090909090912E-2</v>
      </c>
      <c r="F4" s="6">
        <v>0</v>
      </c>
    </row>
    <row r="5" spans="1:6" x14ac:dyDescent="0.25">
      <c r="A5" s="3" t="s">
        <v>21</v>
      </c>
      <c r="B5" s="3" t="s">
        <v>28</v>
      </c>
      <c r="C5" s="6">
        <v>0.12</v>
      </c>
      <c r="D5" s="6">
        <v>0.48</v>
      </c>
      <c r="E5" s="6">
        <v>0.28000000000000003</v>
      </c>
      <c r="F5" s="6">
        <v>0.12</v>
      </c>
    </row>
    <row r="6" spans="1:6" x14ac:dyDescent="0.25">
      <c r="A6" s="3" t="s">
        <v>22</v>
      </c>
      <c r="B6" s="3" t="s">
        <v>29</v>
      </c>
      <c r="C6" s="6">
        <v>0.68965517241379315</v>
      </c>
      <c r="D6" s="6">
        <v>0.19827586206896552</v>
      </c>
      <c r="E6" s="6">
        <v>7.7586206896551727E-2</v>
      </c>
      <c r="F6" s="6">
        <v>3.4482758620689655E-2</v>
      </c>
    </row>
    <row r="7" spans="1:6" x14ac:dyDescent="0.25">
      <c r="A7" s="3" t="s">
        <v>23</v>
      </c>
      <c r="B7" s="3" t="s">
        <v>29</v>
      </c>
      <c r="C7" s="6">
        <v>0.73636363636363633</v>
      </c>
      <c r="D7" s="6">
        <v>0.21818181818181817</v>
      </c>
      <c r="E7" s="6">
        <v>0</v>
      </c>
      <c r="F7" s="6">
        <v>4.5454545454545456E-2</v>
      </c>
    </row>
    <row r="8" spans="1:6" x14ac:dyDescent="0.25">
      <c r="A8" s="3" t="s">
        <v>24</v>
      </c>
      <c r="B8" s="3" t="s">
        <v>17</v>
      </c>
      <c r="C8" s="6">
        <v>0.61052631578947369</v>
      </c>
      <c r="D8" s="6">
        <v>0.32631578947368423</v>
      </c>
      <c r="E8" s="6">
        <v>5.2631578947368418E-2</v>
      </c>
      <c r="F8" s="6">
        <v>1.0526315789473684E-2</v>
      </c>
    </row>
    <row r="9" spans="1:6" x14ac:dyDescent="0.25">
      <c r="A9" s="3" t="s">
        <v>25</v>
      </c>
      <c r="B9" s="3" t="s">
        <v>17</v>
      </c>
      <c r="C9" s="6">
        <v>0.65384615384615385</v>
      </c>
      <c r="D9" s="6">
        <v>0.25641025641025639</v>
      </c>
      <c r="E9" s="6">
        <v>6.4102564102564097E-2</v>
      </c>
      <c r="F9" s="6">
        <v>2.564102564102564E-2</v>
      </c>
    </row>
    <row r="10" spans="1:6" x14ac:dyDescent="0.25">
      <c r="C10" s="6"/>
      <c r="D10" s="6"/>
      <c r="E10" s="6"/>
      <c r="F10" s="6"/>
    </row>
    <row r="11" spans="1:6" x14ac:dyDescent="0.25">
      <c r="C11" s="6"/>
      <c r="D11" s="6"/>
      <c r="E11" s="6"/>
      <c r="F11" s="6"/>
    </row>
    <row r="12" spans="1:6" x14ac:dyDescent="0.25">
      <c r="C12" s="6"/>
      <c r="D12" s="6"/>
      <c r="E12" s="6"/>
      <c r="F12" s="6"/>
    </row>
    <row r="13" spans="1:6" x14ac:dyDescent="0.25">
      <c r="C13" s="6"/>
      <c r="D13" s="6"/>
      <c r="E13" s="6"/>
      <c r="F13" s="6"/>
    </row>
    <row r="14" spans="1:6" x14ac:dyDescent="0.25">
      <c r="C14" s="6"/>
      <c r="D14" s="6"/>
      <c r="E14" s="6"/>
      <c r="F14" s="6"/>
    </row>
    <row r="15" spans="1:6" x14ac:dyDescent="0.25">
      <c r="C15" s="6"/>
      <c r="D15" s="6"/>
      <c r="E15" s="6"/>
      <c r="F15" s="6"/>
    </row>
    <row r="16" spans="1:6" x14ac:dyDescent="0.25">
      <c r="C16" s="6"/>
      <c r="D16" s="6"/>
      <c r="E16" s="6"/>
      <c r="F16" s="6"/>
    </row>
    <row r="17" spans="3:6" x14ac:dyDescent="0.25">
      <c r="C17" s="6"/>
      <c r="D17" s="6"/>
      <c r="E17" s="6"/>
      <c r="F17" s="6"/>
    </row>
    <row r="18" spans="3:6" x14ac:dyDescent="0.25">
      <c r="C18" s="6"/>
      <c r="D18" s="6"/>
      <c r="E18" s="6"/>
      <c r="F18" s="6"/>
    </row>
    <row r="19" spans="3:6" x14ac:dyDescent="0.25">
      <c r="C19" s="6"/>
      <c r="D19" s="6"/>
      <c r="E19" s="6"/>
      <c r="F19" s="6"/>
    </row>
    <row r="20" spans="3:6" x14ac:dyDescent="0.25">
      <c r="C20" s="6"/>
      <c r="D20" s="6"/>
      <c r="E20" s="6"/>
      <c r="F20" s="6"/>
    </row>
    <row r="21" spans="3:6" x14ac:dyDescent="0.25">
      <c r="C21" s="6"/>
      <c r="D21" s="6"/>
      <c r="E21" s="6"/>
      <c r="F21" s="6"/>
    </row>
    <row r="22" spans="3:6" x14ac:dyDescent="0.25">
      <c r="C22" s="6"/>
      <c r="D22" s="6"/>
      <c r="E22" s="6"/>
      <c r="F22" s="6"/>
    </row>
    <row r="23" spans="3:6" x14ac:dyDescent="0.25">
      <c r="C23" s="6"/>
      <c r="D23" s="6"/>
      <c r="E23" s="6"/>
      <c r="F23" s="6"/>
    </row>
    <row r="24" spans="3:6" x14ac:dyDescent="0.25">
      <c r="C24" s="6"/>
      <c r="D24" s="6"/>
      <c r="E24" s="6"/>
      <c r="F24" s="6"/>
    </row>
    <row r="25" spans="3:6" x14ac:dyDescent="0.25">
      <c r="C25" s="6"/>
      <c r="D25" s="6"/>
      <c r="E25" s="6"/>
      <c r="F25" s="6"/>
    </row>
    <row r="26" spans="3:6" x14ac:dyDescent="0.25">
      <c r="C26" s="6"/>
      <c r="D26" s="6"/>
      <c r="E26" s="6"/>
      <c r="F26" s="6"/>
    </row>
    <row r="27" spans="3:6" x14ac:dyDescent="0.25">
      <c r="C27" s="6"/>
      <c r="D27" s="6"/>
      <c r="E27" s="6"/>
      <c r="F27" s="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0495-EC4A-40AB-8C96-966BFB0E34DD}">
  <dimension ref="A1:J9"/>
  <sheetViews>
    <sheetView zoomScale="85" zoomScaleNormal="85" workbookViewId="0">
      <selection activeCell="C24" sqref="C24"/>
    </sheetView>
  </sheetViews>
  <sheetFormatPr baseColWidth="10" defaultColWidth="13.85546875" defaultRowHeight="15" x14ac:dyDescent="0.25"/>
  <cols>
    <col min="1" max="1" width="42.42578125" bestFit="1" customWidth="1"/>
    <col min="4" max="4" width="18.85546875" customWidth="1"/>
  </cols>
  <sheetData>
    <row r="1" spans="1:10" s="1" customFormat="1" x14ac:dyDescent="0.25">
      <c r="A1" s="1" t="s">
        <v>0</v>
      </c>
      <c r="B1" s="1" t="s">
        <v>16</v>
      </c>
      <c r="C1" s="1" t="s">
        <v>33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 x14ac:dyDescent="0.25">
      <c r="A2" s="4" t="s">
        <v>26</v>
      </c>
      <c r="B2" s="4" t="s">
        <v>30</v>
      </c>
      <c r="C2">
        <v>352</v>
      </c>
      <c r="D2">
        <v>154</v>
      </c>
      <c r="E2">
        <v>0</v>
      </c>
      <c r="F2">
        <v>64</v>
      </c>
      <c r="G2">
        <v>68</v>
      </c>
      <c r="H2">
        <v>0</v>
      </c>
      <c r="I2">
        <v>0</v>
      </c>
      <c r="J2">
        <v>8</v>
      </c>
    </row>
    <row r="3" spans="1:10" x14ac:dyDescent="0.25">
      <c r="A3" s="4" t="s">
        <v>27</v>
      </c>
      <c r="B3" s="4" t="s">
        <v>30</v>
      </c>
      <c r="C3">
        <v>49</v>
      </c>
      <c r="D3">
        <v>0</v>
      </c>
      <c r="E3">
        <v>0</v>
      </c>
      <c r="F3">
        <v>40</v>
      </c>
      <c r="G3">
        <v>36</v>
      </c>
      <c r="H3">
        <v>0</v>
      </c>
      <c r="I3">
        <v>0</v>
      </c>
      <c r="J3">
        <v>0</v>
      </c>
    </row>
    <row r="4" spans="1:10" x14ac:dyDescent="0.25">
      <c r="A4" s="3" t="s">
        <v>20</v>
      </c>
      <c r="B4" s="3" t="s">
        <v>28</v>
      </c>
      <c r="C4">
        <v>154</v>
      </c>
      <c r="D4">
        <v>8</v>
      </c>
      <c r="E4">
        <v>24</v>
      </c>
      <c r="F4">
        <v>99.4</v>
      </c>
      <c r="G4">
        <v>0</v>
      </c>
      <c r="H4">
        <v>8</v>
      </c>
      <c r="I4">
        <v>8</v>
      </c>
      <c r="J4">
        <v>32</v>
      </c>
    </row>
    <row r="5" spans="1:10" x14ac:dyDescent="0.25">
      <c r="A5" s="3" t="s">
        <v>21</v>
      </c>
      <c r="B5" s="3" t="s">
        <v>28</v>
      </c>
      <c r="C5">
        <v>222</v>
      </c>
      <c r="D5">
        <v>64</v>
      </c>
      <c r="E5">
        <v>37</v>
      </c>
      <c r="F5">
        <v>24</v>
      </c>
      <c r="G5">
        <v>0</v>
      </c>
      <c r="H5">
        <v>0</v>
      </c>
      <c r="I5">
        <v>42</v>
      </c>
      <c r="J5">
        <v>0</v>
      </c>
    </row>
    <row r="6" spans="1:10" x14ac:dyDescent="0.25">
      <c r="A6" s="3" t="s">
        <v>22</v>
      </c>
      <c r="B6" s="3" t="s">
        <v>29</v>
      </c>
      <c r="C6">
        <v>800</v>
      </c>
      <c r="D6">
        <v>56</v>
      </c>
      <c r="E6">
        <v>72</v>
      </c>
      <c r="F6">
        <v>96</v>
      </c>
      <c r="G6">
        <v>0</v>
      </c>
      <c r="H6">
        <v>0</v>
      </c>
      <c r="I6">
        <v>0</v>
      </c>
      <c r="J6">
        <v>0</v>
      </c>
    </row>
    <row r="7" spans="1:10" x14ac:dyDescent="0.25">
      <c r="A7" s="3" t="s">
        <v>23</v>
      </c>
      <c r="B7" s="3" t="s">
        <v>29</v>
      </c>
      <c r="C7">
        <v>524</v>
      </c>
      <c r="D7">
        <v>36</v>
      </c>
      <c r="E7">
        <v>32</v>
      </c>
      <c r="F7">
        <v>40</v>
      </c>
      <c r="G7">
        <v>0</v>
      </c>
      <c r="H7">
        <v>0</v>
      </c>
      <c r="I7">
        <v>0</v>
      </c>
      <c r="J7">
        <v>0</v>
      </c>
    </row>
    <row r="8" spans="1:10" x14ac:dyDescent="0.25">
      <c r="A8" s="3" t="s">
        <v>24</v>
      </c>
      <c r="B8" s="3" t="s">
        <v>17</v>
      </c>
      <c r="C8">
        <v>441</v>
      </c>
      <c r="D8">
        <v>16</v>
      </c>
      <c r="E8">
        <v>0</v>
      </c>
      <c r="F8">
        <v>0</v>
      </c>
      <c r="G8">
        <v>0</v>
      </c>
      <c r="H8">
        <v>0</v>
      </c>
      <c r="I8">
        <v>0</v>
      </c>
      <c r="J8">
        <v>10</v>
      </c>
    </row>
    <row r="9" spans="1:10" x14ac:dyDescent="0.25">
      <c r="A9" s="3" t="s">
        <v>25</v>
      </c>
      <c r="B9" s="3" t="s">
        <v>17</v>
      </c>
      <c r="C9">
        <v>410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19C-D48C-4C05-9C99-69CE1215DBEC}">
  <dimension ref="A1:J9"/>
  <sheetViews>
    <sheetView zoomScale="85" zoomScaleNormal="85" workbookViewId="0">
      <selection activeCell="A9" sqref="A9"/>
    </sheetView>
  </sheetViews>
  <sheetFormatPr baseColWidth="10" defaultRowHeight="15" x14ac:dyDescent="0.25"/>
  <cols>
    <col min="1" max="1" width="39.7109375" customWidth="1"/>
    <col min="2" max="2" width="13.140625" customWidth="1"/>
    <col min="3" max="3" width="22.28515625" customWidth="1"/>
  </cols>
  <sheetData>
    <row r="1" spans="1:10" x14ac:dyDescent="0.25">
      <c r="A1" s="1" t="s">
        <v>0</v>
      </c>
      <c r="B1" s="1" t="s">
        <v>16</v>
      </c>
      <c r="C1" s="8" t="s">
        <v>26</v>
      </c>
      <c r="D1" s="8" t="s">
        <v>27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</row>
    <row r="2" spans="1:10" x14ac:dyDescent="0.25">
      <c r="A2" s="4" t="s">
        <v>26</v>
      </c>
      <c r="B2" s="4" t="s">
        <v>30</v>
      </c>
      <c r="C2">
        <v>286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4" t="s">
        <v>27</v>
      </c>
      <c r="B3" s="4" t="s">
        <v>30</v>
      </c>
      <c r="C3">
        <v>0</v>
      </c>
      <c r="D3">
        <v>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3" t="s">
        <v>20</v>
      </c>
      <c r="B4" s="3" t="s">
        <v>28</v>
      </c>
      <c r="C4">
        <v>1</v>
      </c>
      <c r="D4">
        <v>0</v>
      </c>
      <c r="E4">
        <v>184</v>
      </c>
      <c r="F4">
        <v>11</v>
      </c>
      <c r="G4">
        <v>0</v>
      </c>
      <c r="H4">
        <v>0</v>
      </c>
      <c r="I4">
        <v>0</v>
      </c>
      <c r="J4">
        <v>0</v>
      </c>
    </row>
    <row r="5" spans="1:10" x14ac:dyDescent="0.25">
      <c r="A5" s="3" t="s">
        <v>21</v>
      </c>
      <c r="B5" s="3" t="s">
        <v>28</v>
      </c>
      <c r="C5">
        <v>0</v>
      </c>
      <c r="D5">
        <v>0</v>
      </c>
      <c r="E5">
        <v>17</v>
      </c>
      <c r="F5">
        <v>114</v>
      </c>
      <c r="G5">
        <v>0</v>
      </c>
      <c r="H5">
        <v>0</v>
      </c>
      <c r="I5">
        <v>0</v>
      </c>
      <c r="J5">
        <v>0</v>
      </c>
    </row>
    <row r="6" spans="1:10" x14ac:dyDescent="0.25">
      <c r="A6" s="3" t="s">
        <v>22</v>
      </c>
      <c r="B6" s="3" t="s">
        <v>29</v>
      </c>
      <c r="C6">
        <v>0</v>
      </c>
      <c r="D6">
        <v>0</v>
      </c>
      <c r="E6">
        <v>0</v>
      </c>
      <c r="F6">
        <v>0</v>
      </c>
      <c r="G6">
        <v>386</v>
      </c>
      <c r="H6">
        <v>13</v>
      </c>
      <c r="I6">
        <v>0</v>
      </c>
      <c r="J6">
        <v>0</v>
      </c>
    </row>
    <row r="7" spans="1:10" x14ac:dyDescent="0.25">
      <c r="A7" s="3" t="s">
        <v>23</v>
      </c>
      <c r="B7" s="3" t="s">
        <v>29</v>
      </c>
      <c r="C7">
        <v>0</v>
      </c>
      <c r="D7">
        <v>0</v>
      </c>
      <c r="E7">
        <v>0</v>
      </c>
      <c r="F7">
        <v>0</v>
      </c>
      <c r="G7">
        <v>65</v>
      </c>
      <c r="H7">
        <v>150</v>
      </c>
      <c r="I7">
        <v>0</v>
      </c>
      <c r="J7">
        <v>5</v>
      </c>
    </row>
    <row r="8" spans="1:10" x14ac:dyDescent="0.25">
      <c r="A8" s="3" t="s">
        <v>24</v>
      </c>
      <c r="B8" s="3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268</v>
      </c>
      <c r="J8">
        <v>5</v>
      </c>
    </row>
    <row r="9" spans="1:10" x14ac:dyDescent="0.25">
      <c r="A9" s="3" t="s">
        <v>25</v>
      </c>
      <c r="B9" s="3" t="s">
        <v>17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54</v>
      </c>
      <c r="J9">
        <v>187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4AF6-989C-4DF0-9E12-C30C1D719AA4}">
  <dimension ref="A1:J9"/>
  <sheetViews>
    <sheetView zoomScale="85" zoomScaleNormal="85" workbookViewId="0">
      <selection activeCell="B9" sqref="B9"/>
    </sheetView>
  </sheetViews>
  <sheetFormatPr baseColWidth="10" defaultRowHeight="15" x14ac:dyDescent="0.25"/>
  <cols>
    <col min="1" max="1" width="41.5703125" customWidth="1"/>
    <col min="2" max="2" width="14.140625" customWidth="1"/>
    <col min="3" max="3" width="29.7109375" bestFit="1" customWidth="1"/>
    <col min="4" max="4" width="13.7109375" bestFit="1" customWidth="1"/>
    <col min="5" max="5" width="25.28515625" bestFit="1" customWidth="1"/>
    <col min="6" max="6" width="40" bestFit="1" customWidth="1"/>
    <col min="7" max="7" width="10.28515625" bestFit="1" customWidth="1"/>
    <col min="8" max="8" width="21.5703125" bestFit="1" customWidth="1"/>
    <col min="9" max="9" width="30.7109375" bestFit="1" customWidth="1"/>
    <col min="10" max="10" width="27.42578125" bestFit="1" customWidth="1"/>
  </cols>
  <sheetData>
    <row r="1" spans="1:10" s="1" customFormat="1" x14ac:dyDescent="0.25">
      <c r="A1" s="1" t="s">
        <v>0</v>
      </c>
      <c r="B1" s="1" t="s">
        <v>16</v>
      </c>
      <c r="C1" s="8" t="s">
        <v>26</v>
      </c>
      <c r="D1" s="8" t="s">
        <v>27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</row>
    <row r="2" spans="1:10" x14ac:dyDescent="0.25">
      <c r="A2" s="4" t="s">
        <v>26</v>
      </c>
      <c r="B2" s="4" t="s">
        <v>30</v>
      </c>
      <c r="C2">
        <v>286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4" t="s">
        <v>27</v>
      </c>
      <c r="B3" s="4" t="s">
        <v>30</v>
      </c>
      <c r="C3">
        <v>0</v>
      </c>
      <c r="D3">
        <v>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3" t="s">
        <v>20</v>
      </c>
      <c r="B4" s="3" t="s">
        <v>28</v>
      </c>
      <c r="C4">
        <v>0</v>
      </c>
      <c r="D4">
        <v>0</v>
      </c>
      <c r="E4">
        <v>184</v>
      </c>
      <c r="F4">
        <v>4</v>
      </c>
      <c r="G4">
        <v>0</v>
      </c>
      <c r="H4">
        <v>0</v>
      </c>
      <c r="I4">
        <v>0</v>
      </c>
      <c r="J4">
        <v>0</v>
      </c>
    </row>
    <row r="5" spans="1:10" x14ac:dyDescent="0.25">
      <c r="A5" s="3" t="s">
        <v>21</v>
      </c>
      <c r="B5" s="3" t="s">
        <v>28</v>
      </c>
      <c r="C5">
        <v>0</v>
      </c>
      <c r="D5">
        <v>0</v>
      </c>
      <c r="E5">
        <v>11</v>
      </c>
      <c r="F5">
        <v>67</v>
      </c>
      <c r="G5">
        <v>0</v>
      </c>
      <c r="H5">
        <v>0</v>
      </c>
      <c r="I5">
        <v>0</v>
      </c>
      <c r="J5">
        <v>0</v>
      </c>
    </row>
    <row r="6" spans="1:10" x14ac:dyDescent="0.25">
      <c r="A6" s="3" t="s">
        <v>22</v>
      </c>
      <c r="B6" s="3" t="s">
        <v>29</v>
      </c>
      <c r="C6">
        <v>0</v>
      </c>
      <c r="D6">
        <v>0</v>
      </c>
      <c r="E6">
        <v>0</v>
      </c>
      <c r="F6">
        <v>0</v>
      </c>
      <c r="G6">
        <v>386</v>
      </c>
      <c r="H6">
        <v>65</v>
      </c>
      <c r="I6">
        <v>0</v>
      </c>
      <c r="J6">
        <v>2</v>
      </c>
    </row>
    <row r="7" spans="1:10" x14ac:dyDescent="0.25">
      <c r="A7" s="3" t="s">
        <v>23</v>
      </c>
      <c r="B7" s="3" t="s">
        <v>29</v>
      </c>
      <c r="C7">
        <v>0</v>
      </c>
      <c r="D7">
        <v>0</v>
      </c>
      <c r="E7">
        <v>0</v>
      </c>
      <c r="F7">
        <v>0</v>
      </c>
      <c r="G7">
        <v>13</v>
      </c>
      <c r="H7">
        <v>150</v>
      </c>
      <c r="I7">
        <v>0</v>
      </c>
      <c r="J7">
        <v>0</v>
      </c>
    </row>
    <row r="8" spans="1:10" x14ac:dyDescent="0.25">
      <c r="A8" s="3" t="s">
        <v>24</v>
      </c>
      <c r="B8" s="3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268</v>
      </c>
      <c r="J8">
        <v>54</v>
      </c>
    </row>
    <row r="9" spans="1:10" x14ac:dyDescent="0.25">
      <c r="A9" s="3" t="s">
        <v>25</v>
      </c>
      <c r="B9" s="3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5</v>
      </c>
      <c r="I9">
        <v>5</v>
      </c>
      <c r="J9">
        <v>187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88A4-8314-4A1B-960A-A97F5DC8AE9D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Importtabelle</vt:lpstr>
      <vt:lpstr>Vorstudium</vt:lpstr>
      <vt:lpstr>Doz-Herkunft</vt:lpstr>
      <vt:lpstr>Module SG</vt:lpstr>
      <vt:lpstr>Module Herkunft</vt:lpstr>
      <vt:lpstr>Infos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Batke, Nicolai</dc:creator>
  <cp:lastModifiedBy>Backfisch, Martin</cp:lastModifiedBy>
  <dcterms:created xsi:type="dcterms:W3CDTF">2015-06-05T18:19:34Z</dcterms:created>
  <dcterms:modified xsi:type="dcterms:W3CDTF">2025-10-23T14:30:26Z</dcterms:modified>
</cp:coreProperties>
</file>